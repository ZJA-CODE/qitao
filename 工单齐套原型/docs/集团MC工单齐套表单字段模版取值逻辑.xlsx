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tabRatio="915" firstSheet="1" activeTab="2"/>
  </bookViews>
  <sheets>
    <sheet name="功能点清单" sheetId="10" r:id="rId1"/>
    <sheet name="字段列表" sheetId="29" r:id="rId2"/>
    <sheet name="屏幕编码清单" sheetId="18" r:id="rId3"/>
    <sheet name="查询规则" sheetId="27" r:id="rId4"/>
    <sheet name="表关系图" sheetId="28" r:id="rId5"/>
    <sheet name="屏幕关系" sheetId="31" r:id="rId6"/>
    <sheet name="C1 齐套规则计算配置表" sheetId="6" r:id="rId7"/>
    <sheet name="C1_1 齐套规则计算配置表-组织配置屏幕" sheetId="19" r:id="rId8"/>
    <sheet name="C1_2 齐套规则计算配置表-分类码配置屏幕" sheetId="20" r:id="rId9"/>
    <sheet name="C1_3 齐套规则计算配置表-供给仓位配置" sheetId="11" r:id="rId10"/>
    <sheet name="C1_3_1  齐套规则计算配置表-供给仓位配置-仓位选择" sheetId="30" r:id="rId11"/>
    <sheet name="C1_4 齐套规则计算配置表-供应商配置屏幕" sheetId="22" r:id="rId12"/>
    <sheet name="C1_5 齐套规则计算配置表-工单状态配置屏幕" sheetId="23" r:id="rId13"/>
    <sheet name="C2 工单齐套优先级维护表" sheetId="12" r:id="rId14"/>
    <sheet name="C3 组件责任方配置" sheetId="7" r:id="rId15"/>
    <sheet name="M1 工单齐套明细" sheetId="1" r:id="rId16"/>
    <sheet name="M1_1 WO工单信息表" sheetId="13" r:id="rId17"/>
    <sheet name="M2 工单齐套-工单详情" sheetId="2" r:id="rId18"/>
    <sheet name="M2_1 工单齐套-工单详细-工单组件信息" sheetId="3" r:id="rId19"/>
    <sheet name="M3 工单齐套-物料详细" sheetId="24" r:id="rId20"/>
    <sheet name="M3_1工单齐套-物料详情-物料关联工单信息" sheetId="25" r:id="rId21"/>
    <sheet name="T1 SRM PO交期报表" sheetId="15" r:id="rId22"/>
    <sheet name="T2 PR信息表" sheetId="4" r:id="rId23"/>
    <sheet name="T3 替代料明细" sheetId="16" r:id="rId24"/>
    <sheet name="H1 齐套明细运行历史记录表" sheetId="36" r:id="rId25"/>
    <sheet name="齐套数算法" sheetId="17" r:id="rId26"/>
  </sheets>
  <definedNames>
    <definedName name="_xlnm._FilterDatabase" localSheetId="15" hidden="1">'M1 工单齐套明细'!$A$1:$H$64</definedName>
    <definedName name="_xlnm._FilterDatabase" localSheetId="0" hidden="1">功能点清单!$A$1:$F$38</definedName>
    <definedName name="_xlnm._FilterDatabase" localSheetId="2" hidden="1">屏幕编码清单!$A$1:$H$20</definedName>
    <definedName name="_xlnm._FilterDatabase" localSheetId="1" hidden="1">字段列表!$A$1:$G$81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7" l="1"/>
  <c r="E3" i="7"/>
  <c r="C4" i="7"/>
  <c r="E4" i="7"/>
  <c r="C5" i="7"/>
  <c r="E5" i="7"/>
  <c r="C6" i="7"/>
  <c r="E6" i="7"/>
  <c r="C7" i="7"/>
  <c r="E7" i="7"/>
  <c r="E2" i="7"/>
  <c r="C2" i="7"/>
  <c r="G3" i="1" l="1"/>
  <c r="F3" i="1"/>
  <c r="E3" i="1"/>
  <c r="D3" i="1"/>
  <c r="B3" i="1"/>
  <c r="G6" i="36"/>
  <c r="F6" i="36"/>
  <c r="E6" i="36"/>
  <c r="G2" i="36"/>
  <c r="F2" i="36"/>
  <c r="E2" i="36"/>
  <c r="D2" i="36"/>
  <c r="B2" i="36"/>
  <c r="G5" i="36"/>
  <c r="F5" i="36"/>
  <c r="E5" i="36"/>
  <c r="D5" i="36"/>
  <c r="B5" i="36"/>
  <c r="G4" i="36"/>
  <c r="F4" i="36"/>
  <c r="E4" i="36"/>
  <c r="D4" i="36"/>
  <c r="B4" i="36"/>
  <c r="G3" i="36"/>
  <c r="F3" i="36"/>
  <c r="E3" i="36"/>
  <c r="D3" i="36"/>
  <c r="B3" i="36"/>
  <c r="E3" i="13"/>
  <c r="F3" i="13"/>
  <c r="G3" i="13"/>
  <c r="E4" i="13"/>
  <c r="F4" i="13"/>
  <c r="G4" i="13"/>
  <c r="E5" i="13"/>
  <c r="F5" i="13"/>
  <c r="G5" i="13"/>
  <c r="E6" i="13"/>
  <c r="F6" i="13"/>
  <c r="G6" i="13"/>
  <c r="E7" i="13"/>
  <c r="F7" i="13"/>
  <c r="G7" i="13"/>
  <c r="E8" i="13"/>
  <c r="F8" i="13"/>
  <c r="G8" i="13"/>
  <c r="E9" i="13"/>
  <c r="F9" i="13"/>
  <c r="G9" i="13"/>
  <c r="E10" i="13"/>
  <c r="F10" i="13"/>
  <c r="G10" i="13"/>
  <c r="E11" i="13"/>
  <c r="F11" i="13"/>
  <c r="G11" i="13"/>
  <c r="E12" i="13"/>
  <c r="F12" i="13"/>
  <c r="G12" i="13"/>
  <c r="E13" i="13"/>
  <c r="F13" i="13"/>
  <c r="G13" i="13"/>
  <c r="E14" i="13"/>
  <c r="F14" i="13"/>
  <c r="G14" i="13"/>
  <c r="E15" i="13"/>
  <c r="F15" i="13"/>
  <c r="G15" i="13"/>
  <c r="E16" i="13"/>
  <c r="F16" i="13"/>
  <c r="G16" i="13"/>
  <c r="E17" i="13"/>
  <c r="F17" i="13"/>
  <c r="G17" i="13"/>
  <c r="E18" i="13"/>
  <c r="F18" i="13"/>
  <c r="G18" i="13"/>
  <c r="E19" i="13"/>
  <c r="F19" i="13"/>
  <c r="G19" i="13"/>
  <c r="E20" i="13"/>
  <c r="F20" i="13"/>
  <c r="G20" i="13"/>
  <c r="E21" i="13"/>
  <c r="F21" i="13"/>
  <c r="G21" i="13"/>
  <c r="E22" i="13"/>
  <c r="F22" i="13"/>
  <c r="G22" i="13"/>
  <c r="E23" i="13"/>
  <c r="F23" i="13"/>
  <c r="G23" i="13"/>
  <c r="E24" i="13"/>
  <c r="F24" i="13"/>
  <c r="G24" i="13"/>
  <c r="E25" i="13"/>
  <c r="F25" i="13"/>
  <c r="G25" i="13"/>
  <c r="E26" i="13"/>
  <c r="F26" i="13"/>
  <c r="G26" i="13"/>
  <c r="E27" i="13"/>
  <c r="F27" i="13"/>
  <c r="G27" i="13"/>
  <c r="E28" i="13"/>
  <c r="F28" i="13"/>
  <c r="G28" i="13"/>
  <c r="G2" i="13"/>
  <c r="F2" i="13"/>
  <c r="E2" i="13"/>
  <c r="B58" i="1" l="1"/>
  <c r="B3" i="13"/>
  <c r="D3" i="13"/>
  <c r="B4" i="13"/>
  <c r="D4" i="13"/>
  <c r="B5" i="13"/>
  <c r="D5" i="13"/>
  <c r="B6" i="13"/>
  <c r="D6" i="13"/>
  <c r="G23" i="24"/>
  <c r="F23" i="24"/>
  <c r="E23" i="24"/>
  <c r="D23" i="24"/>
  <c r="B23" i="24"/>
  <c r="A19" i="18"/>
  <c r="A18" i="18"/>
  <c r="A13" i="18"/>
  <c r="D28" i="13"/>
  <c r="B28" i="13"/>
  <c r="D27" i="13"/>
  <c r="B27" i="13"/>
  <c r="D26" i="13"/>
  <c r="B26" i="13"/>
  <c r="D25" i="13"/>
  <c r="B25" i="13"/>
  <c r="D24" i="13"/>
  <c r="B24" i="13"/>
  <c r="D23" i="13"/>
  <c r="B23" i="13"/>
  <c r="D22" i="13"/>
  <c r="B22" i="13"/>
  <c r="D21" i="13"/>
  <c r="B21" i="13"/>
  <c r="D20" i="13"/>
  <c r="B20" i="13"/>
  <c r="D19" i="13"/>
  <c r="B19" i="13"/>
  <c r="D18" i="13"/>
  <c r="B18" i="13"/>
  <c r="D17" i="13"/>
  <c r="B17" i="13"/>
  <c r="D16" i="13"/>
  <c r="B16" i="13"/>
  <c r="D15" i="13"/>
  <c r="B15" i="13"/>
  <c r="D14" i="13"/>
  <c r="B14" i="13"/>
  <c r="D13" i="13"/>
  <c r="B13" i="13"/>
  <c r="D12" i="13"/>
  <c r="B12" i="13"/>
  <c r="D11" i="13"/>
  <c r="B11" i="13"/>
  <c r="D10" i="13"/>
  <c r="B10" i="13"/>
  <c r="D9" i="13"/>
  <c r="B9" i="13"/>
  <c r="D8" i="13"/>
  <c r="B8" i="13"/>
  <c r="D7" i="13"/>
  <c r="B7" i="13"/>
  <c r="D2" i="13"/>
  <c r="B2" i="13"/>
  <c r="E11" i="25" l="1"/>
  <c r="C11" i="25"/>
  <c r="E10" i="25"/>
  <c r="C10" i="25"/>
  <c r="E18" i="25"/>
  <c r="C18" i="25"/>
  <c r="E33" i="25"/>
  <c r="C33" i="25"/>
  <c r="E32" i="25"/>
  <c r="C32" i="25"/>
  <c r="E31" i="25"/>
  <c r="C31" i="25"/>
  <c r="E30" i="25"/>
  <c r="C30" i="25"/>
  <c r="C23" i="25"/>
  <c r="E23" i="25"/>
  <c r="E16" i="25"/>
  <c r="E8" i="25"/>
  <c r="C8" i="25"/>
  <c r="E9" i="25"/>
  <c r="C9" i="25"/>
  <c r="E3" i="25"/>
  <c r="E13" i="25"/>
  <c r="C13" i="25"/>
  <c r="E14" i="25"/>
  <c r="C14" i="25"/>
  <c r="E3" i="3"/>
  <c r="C3" i="3"/>
  <c r="B14" i="1"/>
  <c r="E34" i="25"/>
  <c r="C34" i="25"/>
  <c r="E29" i="25"/>
  <c r="C29" i="25"/>
  <c r="E7" i="25"/>
  <c r="C7" i="25"/>
  <c r="E6" i="25"/>
  <c r="C6" i="25"/>
  <c r="E28" i="25"/>
  <c r="C28" i="25"/>
  <c r="E27" i="25"/>
  <c r="C27" i="25"/>
  <c r="E26" i="25"/>
  <c r="C26" i="25"/>
  <c r="E25" i="25"/>
  <c r="C25" i="25"/>
  <c r="E24" i="25"/>
  <c r="C24" i="25"/>
  <c r="E12" i="25"/>
  <c r="C12" i="25"/>
  <c r="E5" i="25"/>
  <c r="C5" i="25"/>
  <c r="E4" i="25"/>
  <c r="C4" i="25"/>
  <c r="E22" i="25"/>
  <c r="C22" i="25"/>
  <c r="E21" i="25"/>
  <c r="C21" i="25"/>
  <c r="E15" i="25"/>
  <c r="C15" i="25"/>
  <c r="E20" i="25"/>
  <c r="C20" i="25"/>
  <c r="E19" i="25"/>
  <c r="C19" i="25"/>
  <c r="E17" i="25"/>
  <c r="C17" i="25"/>
  <c r="E2" i="25"/>
  <c r="C2" i="25"/>
  <c r="E10" i="3"/>
  <c r="C10" i="3"/>
  <c r="C4" i="3"/>
  <c r="E4" i="3"/>
  <c r="C5" i="3"/>
  <c r="E5" i="3"/>
  <c r="C6" i="3"/>
  <c r="E6" i="3"/>
  <c r="C7" i="3"/>
  <c r="E7" i="3"/>
  <c r="C8" i="3"/>
  <c r="E8" i="3"/>
  <c r="C9" i="3"/>
  <c r="E9" i="3"/>
  <c r="C11" i="3"/>
  <c r="E11" i="3"/>
  <c r="C12" i="3"/>
  <c r="E12" i="3"/>
  <c r="C13" i="3"/>
  <c r="E13" i="3"/>
  <c r="C14" i="3"/>
  <c r="E14" i="3"/>
  <c r="C15" i="3"/>
  <c r="E15" i="3"/>
  <c r="C16" i="3"/>
  <c r="E16" i="3"/>
  <c r="C17" i="3"/>
  <c r="E17" i="3"/>
  <c r="C18" i="3"/>
  <c r="E18" i="3"/>
  <c r="C19" i="3"/>
  <c r="E19" i="3"/>
  <c r="C20" i="3"/>
  <c r="E20" i="3"/>
  <c r="C21" i="3"/>
  <c r="E21" i="3"/>
  <c r="C22" i="3"/>
  <c r="E22" i="3"/>
  <c r="C23" i="3"/>
  <c r="E23" i="3"/>
  <c r="C24" i="3"/>
  <c r="E24" i="3"/>
  <c r="C25" i="3"/>
  <c r="E25" i="3"/>
  <c r="C26" i="3"/>
  <c r="E26" i="3"/>
  <c r="C27" i="3"/>
  <c r="E27" i="3"/>
  <c r="C28" i="3"/>
  <c r="E28" i="3"/>
  <c r="C29" i="3"/>
  <c r="E29" i="3"/>
  <c r="C30" i="3"/>
  <c r="E30" i="3"/>
  <c r="C31" i="3"/>
  <c r="E31" i="3"/>
  <c r="C36" i="3"/>
  <c r="E36" i="3"/>
  <c r="C32" i="3"/>
  <c r="E32" i="3"/>
  <c r="C33" i="3"/>
  <c r="E33" i="3"/>
  <c r="C34" i="3"/>
  <c r="E34" i="3"/>
  <c r="C35" i="3"/>
  <c r="E35" i="3"/>
  <c r="C37" i="3"/>
  <c r="E37" i="3"/>
  <c r="G40" i="1" l="1"/>
  <c r="F40" i="1"/>
  <c r="E40" i="1"/>
  <c r="D40" i="1"/>
  <c r="B40" i="1"/>
  <c r="B16" i="24"/>
  <c r="G10" i="24"/>
  <c r="F10" i="24"/>
  <c r="E10" i="24"/>
  <c r="D10" i="24"/>
  <c r="B10" i="24"/>
  <c r="G9" i="24"/>
  <c r="F9" i="24"/>
  <c r="E9" i="24"/>
  <c r="D9" i="24"/>
  <c r="B9" i="24"/>
  <c r="G8" i="24"/>
  <c r="F8" i="24"/>
  <c r="E8" i="24"/>
  <c r="D8" i="24"/>
  <c r="B8" i="24"/>
  <c r="G7" i="24"/>
  <c r="F7" i="24"/>
  <c r="E7" i="24"/>
  <c r="D7" i="24"/>
  <c r="B7" i="24"/>
  <c r="B4" i="24"/>
  <c r="D4" i="24"/>
  <c r="E4" i="24"/>
  <c r="F4" i="24"/>
  <c r="G4" i="24"/>
  <c r="B5" i="24"/>
  <c r="D5" i="24"/>
  <c r="E5" i="24"/>
  <c r="F5" i="24"/>
  <c r="G5" i="24"/>
  <c r="B6" i="24"/>
  <c r="D6" i="24"/>
  <c r="E6" i="24"/>
  <c r="F6" i="24"/>
  <c r="G6" i="24"/>
  <c r="B12" i="24"/>
  <c r="D12" i="24"/>
  <c r="E12" i="24"/>
  <c r="F12" i="24"/>
  <c r="G12" i="24"/>
  <c r="B13" i="24"/>
  <c r="D13" i="24"/>
  <c r="E13" i="24"/>
  <c r="F13" i="24"/>
  <c r="G13" i="24"/>
  <c r="B11" i="24"/>
  <c r="D11" i="24"/>
  <c r="E11" i="24"/>
  <c r="F11" i="24"/>
  <c r="G11" i="24"/>
  <c r="D16" i="24"/>
  <c r="E16" i="24"/>
  <c r="F16" i="24"/>
  <c r="G16" i="24"/>
  <c r="B18" i="24"/>
  <c r="D18" i="24"/>
  <c r="E18" i="24"/>
  <c r="F18" i="24"/>
  <c r="G18" i="24"/>
  <c r="B19" i="24"/>
  <c r="D19" i="24"/>
  <c r="E19" i="24"/>
  <c r="F19" i="24"/>
  <c r="G19" i="24"/>
  <c r="B22" i="24"/>
  <c r="D22" i="24"/>
  <c r="E22" i="24"/>
  <c r="F22" i="24"/>
  <c r="G22" i="24"/>
  <c r="B14" i="24"/>
  <c r="D14" i="24"/>
  <c r="E14" i="24"/>
  <c r="F14" i="24"/>
  <c r="G14" i="24"/>
  <c r="B15" i="24"/>
  <c r="D15" i="24"/>
  <c r="E15" i="24"/>
  <c r="F15" i="24"/>
  <c r="G15" i="24"/>
  <c r="B20" i="24"/>
  <c r="D20" i="24"/>
  <c r="E20" i="24"/>
  <c r="F20" i="24"/>
  <c r="G20" i="24"/>
  <c r="B17" i="24"/>
  <c r="D17" i="24"/>
  <c r="E17" i="24"/>
  <c r="F17" i="24"/>
  <c r="G17" i="24"/>
  <c r="B21" i="24"/>
  <c r="D21" i="24"/>
  <c r="E21" i="24"/>
  <c r="F21" i="24"/>
  <c r="G21" i="24"/>
  <c r="G3" i="24"/>
  <c r="F3" i="24"/>
  <c r="E3" i="24"/>
  <c r="D3" i="24"/>
  <c r="B3" i="24"/>
  <c r="G2" i="24"/>
  <c r="F2" i="24"/>
  <c r="E2" i="24"/>
  <c r="D2" i="24"/>
  <c r="B2" i="24"/>
  <c r="E2" i="3" l="1"/>
  <c r="C2" i="3"/>
  <c r="D3" i="2" l="1"/>
  <c r="E3" i="2"/>
  <c r="F3" i="2"/>
  <c r="G3" i="2"/>
  <c r="D4" i="2"/>
  <c r="E4" i="2"/>
  <c r="F4" i="2"/>
  <c r="G4" i="2"/>
  <c r="D5" i="2"/>
  <c r="E5" i="2"/>
  <c r="F5" i="2"/>
  <c r="G5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3" i="2"/>
  <c r="E23" i="2"/>
  <c r="F23" i="2"/>
  <c r="G23" i="2"/>
  <c r="D24" i="2"/>
  <c r="E24" i="2"/>
  <c r="F24" i="2"/>
  <c r="G24" i="2"/>
  <c r="D25" i="2"/>
  <c r="E25" i="2"/>
  <c r="F25" i="2"/>
  <c r="G25" i="2"/>
  <c r="D26" i="2"/>
  <c r="E26" i="2"/>
  <c r="F26" i="2"/>
  <c r="G26" i="2"/>
  <c r="D27" i="2"/>
  <c r="E27" i="2"/>
  <c r="F27" i="2"/>
  <c r="G27" i="2"/>
  <c r="D28" i="2"/>
  <c r="E28" i="2"/>
  <c r="F28" i="2"/>
  <c r="G28" i="2"/>
  <c r="D29" i="2"/>
  <c r="E29" i="2"/>
  <c r="F29" i="2"/>
  <c r="G29" i="2"/>
  <c r="D30" i="2"/>
  <c r="E30" i="2"/>
  <c r="F30" i="2"/>
  <c r="G30" i="2"/>
  <c r="D31" i="2"/>
  <c r="E31" i="2"/>
  <c r="F31" i="2"/>
  <c r="G31" i="2"/>
  <c r="D32" i="2"/>
  <c r="E32" i="2"/>
  <c r="F32" i="2"/>
  <c r="G32" i="2"/>
  <c r="D33" i="2"/>
  <c r="E33" i="2"/>
  <c r="F33" i="2"/>
  <c r="G33" i="2"/>
  <c r="D34" i="2"/>
  <c r="E34" i="2"/>
  <c r="F34" i="2"/>
  <c r="G34" i="2"/>
  <c r="D35" i="2"/>
  <c r="E35" i="2"/>
  <c r="F35" i="2"/>
  <c r="G35" i="2"/>
  <c r="D36" i="2"/>
  <c r="E36" i="2"/>
  <c r="F36" i="2"/>
  <c r="G36" i="2"/>
  <c r="D37" i="2"/>
  <c r="E37" i="2"/>
  <c r="F37" i="2"/>
  <c r="G37" i="2"/>
  <c r="D38" i="2"/>
  <c r="E38" i="2"/>
  <c r="F38" i="2"/>
  <c r="G38" i="2"/>
  <c r="D39" i="2"/>
  <c r="E39" i="2"/>
  <c r="F39" i="2"/>
  <c r="G39" i="2"/>
  <c r="G2" i="2"/>
  <c r="F2" i="2"/>
  <c r="E2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2" i="2"/>
  <c r="G56" i="1"/>
  <c r="F56" i="1"/>
  <c r="E56" i="1"/>
  <c r="D56" i="1"/>
  <c r="B56" i="1"/>
  <c r="I9" i="17"/>
  <c r="I19" i="17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4" i="1"/>
  <c r="E14" i="1"/>
  <c r="F14" i="1"/>
  <c r="G14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4" i="1"/>
  <c r="E54" i="1"/>
  <c r="F54" i="1"/>
  <c r="G54" i="1"/>
  <c r="D55" i="1"/>
  <c r="E55" i="1"/>
  <c r="F55" i="1"/>
  <c r="G55" i="1"/>
  <c r="D57" i="1"/>
  <c r="E57" i="1"/>
  <c r="F57" i="1"/>
  <c r="G57" i="1"/>
  <c r="D51" i="1"/>
  <c r="E51" i="1"/>
  <c r="F51" i="1"/>
  <c r="G51" i="1"/>
  <c r="D52" i="1"/>
  <c r="E52" i="1"/>
  <c r="F52" i="1"/>
  <c r="G52" i="1"/>
  <c r="D53" i="1"/>
  <c r="E53" i="1"/>
  <c r="F53" i="1"/>
  <c r="G53" i="1"/>
  <c r="D63" i="1"/>
  <c r="E63" i="1"/>
  <c r="F63" i="1"/>
  <c r="G63" i="1"/>
  <c r="D58" i="1"/>
  <c r="E58" i="1"/>
  <c r="F58" i="1"/>
  <c r="G58" i="1"/>
  <c r="D59" i="1"/>
  <c r="E59" i="1"/>
  <c r="F59" i="1"/>
  <c r="G59" i="1"/>
  <c r="D39" i="1"/>
  <c r="E39" i="1"/>
  <c r="F39" i="1"/>
  <c r="G39" i="1"/>
  <c r="D60" i="1"/>
  <c r="E60" i="1"/>
  <c r="F60" i="1"/>
  <c r="G60" i="1"/>
  <c r="D61" i="1"/>
  <c r="E61" i="1"/>
  <c r="F61" i="1"/>
  <c r="G61" i="1"/>
  <c r="D62" i="1"/>
  <c r="E62" i="1"/>
  <c r="F62" i="1"/>
  <c r="G62" i="1"/>
  <c r="D64" i="1"/>
  <c r="E64" i="1"/>
  <c r="F64" i="1"/>
  <c r="G64" i="1"/>
  <c r="G2" i="1"/>
  <c r="F2" i="1"/>
  <c r="E2" i="1"/>
  <c r="D2" i="1"/>
  <c r="B4" i="1"/>
  <c r="B5" i="1"/>
  <c r="B6" i="1"/>
  <c r="B7" i="1"/>
  <c r="B8" i="1"/>
  <c r="B9" i="1"/>
  <c r="B10" i="1"/>
  <c r="B11" i="1"/>
  <c r="B12" i="1"/>
  <c r="B13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41" i="1"/>
  <c r="B42" i="1"/>
  <c r="B43" i="1"/>
  <c r="B44" i="1"/>
  <c r="B45" i="1"/>
  <c r="B46" i="1"/>
  <c r="B47" i="1"/>
  <c r="B48" i="1"/>
  <c r="B49" i="1"/>
  <c r="B50" i="1"/>
  <c r="B54" i="1"/>
  <c r="B55" i="1"/>
  <c r="B57" i="1"/>
  <c r="B51" i="1"/>
  <c r="B52" i="1"/>
  <c r="B53" i="1"/>
  <c r="B63" i="1"/>
  <c r="B59" i="1"/>
  <c r="B39" i="1"/>
  <c r="B60" i="1"/>
  <c r="B61" i="1"/>
  <c r="B62" i="1"/>
  <c r="B64" i="1"/>
  <c r="B2" i="1"/>
  <c r="G3" i="23"/>
  <c r="F3" i="23"/>
  <c r="E3" i="23"/>
  <c r="D3" i="23"/>
  <c r="B3" i="23"/>
  <c r="G2" i="23"/>
  <c r="F2" i="23"/>
  <c r="E2" i="23"/>
  <c r="D2" i="23"/>
  <c r="B2" i="23"/>
  <c r="G5" i="22"/>
  <c r="F5" i="22"/>
  <c r="E5" i="22"/>
  <c r="D5" i="22"/>
  <c r="B5" i="22"/>
  <c r="G4" i="22"/>
  <c r="F4" i="22"/>
  <c r="E4" i="22"/>
  <c r="D4" i="22"/>
  <c r="B4" i="22"/>
  <c r="G3" i="22"/>
  <c r="F3" i="22"/>
  <c r="D3" i="22"/>
  <c r="B3" i="22"/>
  <c r="G2" i="22"/>
  <c r="F2" i="22"/>
  <c r="E2" i="22"/>
  <c r="D2" i="22"/>
  <c r="B2" i="22"/>
  <c r="D6" i="30"/>
  <c r="E6" i="30"/>
  <c r="F6" i="30"/>
  <c r="G6" i="30"/>
  <c r="D7" i="30"/>
  <c r="E7" i="30"/>
  <c r="F7" i="30"/>
  <c r="G7" i="30"/>
  <c r="G5" i="30"/>
  <c r="F5" i="30"/>
  <c r="E5" i="30"/>
  <c r="D5" i="30"/>
  <c r="G4" i="30"/>
  <c r="F4" i="30"/>
  <c r="E4" i="30"/>
  <c r="D4" i="30"/>
  <c r="G3" i="30"/>
  <c r="F3" i="30"/>
  <c r="E3" i="30"/>
  <c r="D3" i="30"/>
  <c r="G2" i="30"/>
  <c r="F2" i="30"/>
  <c r="E2" i="30"/>
  <c r="D2" i="30"/>
  <c r="G5" i="11"/>
  <c r="F5" i="11"/>
  <c r="E5" i="11"/>
  <c r="D5" i="11"/>
  <c r="G4" i="11"/>
  <c r="F4" i="11"/>
  <c r="E4" i="11"/>
  <c r="D4" i="11"/>
  <c r="G3" i="11"/>
  <c r="F3" i="11"/>
  <c r="E3" i="11"/>
  <c r="D3" i="11"/>
  <c r="G2" i="11"/>
  <c r="F2" i="11"/>
  <c r="E2" i="11"/>
  <c r="D2" i="11"/>
  <c r="A9" i="18"/>
  <c r="A3" i="18"/>
  <c r="A4" i="18"/>
  <c r="A5" i="18"/>
  <c r="A6" i="18"/>
  <c r="A7" i="18"/>
  <c r="A8" i="18"/>
  <c r="A20" i="18"/>
  <c r="A10" i="18"/>
  <c r="A12" i="18"/>
  <c r="A14" i="18"/>
  <c r="A15" i="18"/>
  <c r="A16" i="18"/>
  <c r="A17" i="18"/>
  <c r="A2" i="18"/>
  <c r="B4" i="30"/>
  <c r="B3" i="30"/>
  <c r="B7" i="30"/>
  <c r="B6" i="30"/>
  <c r="B5" i="30"/>
  <c r="B2" i="30"/>
  <c r="B4" i="11"/>
  <c r="B3" i="11"/>
  <c r="B5" i="11"/>
  <c r="B2" i="11"/>
  <c r="G3" i="20"/>
  <c r="F3" i="20"/>
  <c r="E3" i="20"/>
  <c r="D3" i="20"/>
  <c r="G5" i="20"/>
  <c r="F5" i="20"/>
  <c r="E5" i="20"/>
  <c r="D5" i="20"/>
  <c r="G4" i="20"/>
  <c r="F4" i="20"/>
  <c r="E4" i="20"/>
  <c r="D4" i="20"/>
  <c r="G2" i="20"/>
  <c r="F2" i="20"/>
  <c r="E2" i="20"/>
  <c r="D2" i="20"/>
  <c r="B3" i="20"/>
  <c r="B5" i="20"/>
  <c r="B4" i="20"/>
  <c r="B2" i="20"/>
  <c r="D4" i="19"/>
  <c r="E4" i="19"/>
  <c r="F4" i="19"/>
  <c r="G4" i="19"/>
  <c r="D5" i="19"/>
  <c r="E5" i="19"/>
  <c r="F5" i="19"/>
  <c r="G5" i="19"/>
  <c r="D3" i="19"/>
  <c r="E3" i="19"/>
  <c r="F3" i="19"/>
  <c r="G3" i="19"/>
  <c r="G2" i="19"/>
  <c r="F2" i="19"/>
  <c r="E2" i="19"/>
  <c r="D2" i="19"/>
  <c r="B4" i="19"/>
  <c r="B5" i="19"/>
  <c r="B3" i="19"/>
  <c r="B2" i="19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C3" i="6"/>
  <c r="H3" i="6" s="1"/>
  <c r="C4" i="6"/>
  <c r="H4" i="6" s="1"/>
  <c r="C5" i="6"/>
  <c r="H5" i="6" s="1"/>
  <c r="C6" i="6"/>
  <c r="H6" i="6" s="1"/>
  <c r="C7" i="6"/>
  <c r="H7" i="6" s="1"/>
  <c r="C8" i="6"/>
  <c r="H8" i="6" s="1"/>
  <c r="C9" i="6"/>
  <c r="H9" i="6" s="1"/>
  <c r="C10" i="6"/>
  <c r="H10" i="6" s="1"/>
  <c r="C11" i="6"/>
  <c r="H11" i="6" s="1"/>
  <c r="C12" i="6"/>
  <c r="H12" i="6" s="1"/>
  <c r="C13" i="6"/>
  <c r="H13" i="6" s="1"/>
  <c r="C14" i="6"/>
  <c r="H14" i="6" s="1"/>
  <c r="C15" i="6"/>
  <c r="H15" i="6" s="1"/>
  <c r="C2" i="6"/>
  <c r="H2" i="6" s="1"/>
  <c r="G7" i="6" l="1"/>
  <c r="G6" i="6"/>
  <c r="G5" i="6"/>
  <c r="F11" i="6"/>
  <c r="F9" i="6"/>
  <c r="F8" i="6"/>
  <c r="F7" i="6"/>
  <c r="F6" i="6"/>
  <c r="F5" i="6"/>
  <c r="G10" i="6"/>
  <c r="G9" i="6"/>
  <c r="G8" i="6"/>
  <c r="F10" i="6"/>
  <c r="G4" i="6"/>
  <c r="F4" i="6"/>
  <c r="G3" i="6"/>
  <c r="F3" i="6"/>
  <c r="F2" i="6"/>
  <c r="G2" i="6"/>
  <c r="G15" i="6"/>
  <c r="F15" i="6"/>
  <c r="G14" i="6"/>
  <c r="F14" i="6"/>
  <c r="G13" i="6"/>
  <c r="F13" i="6"/>
  <c r="G12" i="6"/>
  <c r="F12" i="6"/>
  <c r="G11" i="6"/>
  <c r="G8" i="17"/>
  <c r="I15" i="17"/>
  <c r="G6" i="17"/>
  <c r="A3" i="6" l="1"/>
  <c r="A4" i="6"/>
  <c r="A5" i="6"/>
  <c r="A6" i="6"/>
  <c r="A7" i="6"/>
  <c r="A8" i="6"/>
  <c r="A9" i="6"/>
  <c r="A10" i="6"/>
  <c r="A11" i="6"/>
  <c r="A12" i="6"/>
  <c r="A13" i="6"/>
  <c r="A14" i="6"/>
  <c r="A15" i="6"/>
  <c r="A2" i="6"/>
</calcChain>
</file>

<file path=xl/sharedStrings.xml><?xml version="1.0" encoding="utf-8"?>
<sst xmlns="http://schemas.openxmlformats.org/spreadsheetml/2006/main" count="2738" uniqueCount="785">
  <si>
    <t>工单号</t>
  </si>
  <si>
    <t>组件物料</t>
  </si>
  <si>
    <t>组件物料描述</t>
  </si>
  <si>
    <t>组件分类</t>
    <phoneticPr fontId="4" type="noConversion"/>
  </si>
  <si>
    <t>产出率</t>
  </si>
  <si>
    <t>要求齐料日期（起始(MRP)日期）</t>
    <phoneticPr fontId="4" type="noConversion"/>
  </si>
  <si>
    <t>现存数量</t>
  </si>
  <si>
    <t>理论可用库存</t>
  </si>
  <si>
    <t>预计齐料日期</t>
    <phoneticPr fontId="4" type="noConversion"/>
  </si>
  <si>
    <t>实际齐料日期</t>
    <phoneticPr fontId="4" type="noConversion"/>
  </si>
  <si>
    <t>组件责任方</t>
    <phoneticPr fontId="4" type="noConversion"/>
  </si>
  <si>
    <t>替代料及库存</t>
    <phoneticPr fontId="4" type="noConversion"/>
  </si>
  <si>
    <t>序号</t>
    <phoneticPr fontId="3" type="noConversion"/>
  </si>
  <si>
    <t>字段逻辑</t>
    <phoneticPr fontId="3" type="noConversion"/>
  </si>
  <si>
    <t>按照行项数自动赋值</t>
    <phoneticPr fontId="3" type="noConversion"/>
  </si>
  <si>
    <t>通过"工单号"获取</t>
    <phoneticPr fontId="3" type="noConversion"/>
  </si>
  <si>
    <t>备注</t>
    <phoneticPr fontId="3" type="noConversion"/>
  </si>
  <si>
    <t>工单分类</t>
    <phoneticPr fontId="3" type="noConversion"/>
  </si>
  <si>
    <t>组织</t>
    <phoneticPr fontId="3" type="noConversion"/>
  </si>
  <si>
    <t>订单编号</t>
    <phoneticPr fontId="3" type="noConversion"/>
  </si>
  <si>
    <t>订单创建日期</t>
    <phoneticPr fontId="3" type="noConversion"/>
  </si>
  <si>
    <t>订单创建人</t>
    <phoneticPr fontId="3" type="noConversion"/>
  </si>
  <si>
    <t>订单类型</t>
    <phoneticPr fontId="3" type="noConversion"/>
  </si>
  <si>
    <t>料号</t>
    <phoneticPr fontId="3" type="noConversion"/>
  </si>
  <si>
    <t>产品类别</t>
    <phoneticPr fontId="3" type="noConversion"/>
  </si>
  <si>
    <t>容量</t>
    <phoneticPr fontId="3" type="noConversion"/>
  </si>
  <si>
    <t>产品PN</t>
    <phoneticPr fontId="3" type="noConversion"/>
  </si>
  <si>
    <t>说明</t>
    <phoneticPr fontId="3" type="noConversion"/>
  </si>
  <si>
    <t>下单数量</t>
    <phoneticPr fontId="3" type="noConversion"/>
  </si>
  <si>
    <t>要求完成日期</t>
    <phoneticPr fontId="3" type="noConversion"/>
  </si>
  <si>
    <t>工单状态</t>
    <phoneticPr fontId="3" type="noConversion"/>
  </si>
  <si>
    <t>转单人</t>
    <phoneticPr fontId="3" type="noConversion"/>
  </si>
  <si>
    <t>转单时间</t>
    <phoneticPr fontId="3" type="noConversion"/>
  </si>
  <si>
    <t>转单数量</t>
    <phoneticPr fontId="3" type="noConversion"/>
  </si>
  <si>
    <t>未完成数量</t>
    <phoneticPr fontId="3" type="noConversion"/>
  </si>
  <si>
    <t>已完工数量</t>
    <phoneticPr fontId="3" type="noConversion"/>
  </si>
  <si>
    <t>报废数量</t>
    <phoneticPr fontId="3" type="noConversion"/>
  </si>
  <si>
    <t>发料仓</t>
    <phoneticPr fontId="4" type="noConversion"/>
  </si>
  <si>
    <t>通过"订单编号"获取</t>
    <phoneticPr fontId="3" type="noConversion"/>
  </si>
  <si>
    <t>通过 组件物料-说明</t>
    <phoneticPr fontId="3" type="noConversion"/>
  </si>
  <si>
    <t>通过组件料号，获取EBS"固定供应天数 FIXED_DAYS_SUPPLY_MIR'</t>
    <phoneticPr fontId="3" type="noConversion"/>
  </si>
  <si>
    <t>单位用量</t>
    <phoneticPr fontId="4" type="noConversion"/>
  </si>
  <si>
    <t>已发料量</t>
    <phoneticPr fontId="4" type="noConversion"/>
  </si>
  <si>
    <t>配置库存数量</t>
    <phoneticPr fontId="4" type="noConversion"/>
  </si>
  <si>
    <t>运行时间</t>
    <phoneticPr fontId="4" type="noConversion"/>
  </si>
  <si>
    <t>最后运行人</t>
    <phoneticPr fontId="4" type="noConversion"/>
  </si>
  <si>
    <t>配置编码</t>
    <phoneticPr fontId="4" type="noConversion"/>
  </si>
  <si>
    <t>零部件类别</t>
    <phoneticPr fontId="4" type="noConversion"/>
  </si>
  <si>
    <t>通过组件料号，取EBS“NCITEM_EXTEND_V-ITEM_WLLB”</t>
    <phoneticPr fontId="4" type="noConversion"/>
  </si>
  <si>
    <t>工单优先级</t>
    <phoneticPr fontId="4" type="noConversion"/>
  </si>
  <si>
    <t>在"工单优先级维护"表内通过"工单号"获取</t>
    <phoneticPr fontId="4" type="noConversion"/>
  </si>
  <si>
    <t>配置编码</t>
    <phoneticPr fontId="3" type="noConversion"/>
  </si>
  <si>
    <t>配置描述</t>
    <phoneticPr fontId="3" type="noConversion"/>
  </si>
  <si>
    <t>组织</t>
    <phoneticPr fontId="3" type="noConversion"/>
  </si>
  <si>
    <t>Y</t>
    <phoneticPr fontId="3" type="noConversion"/>
  </si>
  <si>
    <t>查询方式</t>
    <phoneticPr fontId="3" type="noConversion"/>
  </si>
  <si>
    <t>分类码</t>
    <phoneticPr fontId="3" type="noConversion"/>
  </si>
  <si>
    <t>自定义输入</t>
    <phoneticPr fontId="3" type="noConversion"/>
  </si>
  <si>
    <t>字符类型</t>
    <phoneticPr fontId="3" type="noConversion"/>
  </si>
  <si>
    <t>供应商编码</t>
    <phoneticPr fontId="3" type="noConversion"/>
  </si>
  <si>
    <t>功能点</t>
    <phoneticPr fontId="3" type="noConversion"/>
  </si>
  <si>
    <t>类型</t>
    <phoneticPr fontId="3" type="noConversion"/>
  </si>
  <si>
    <t>工单状态</t>
    <phoneticPr fontId="3" type="noConversion"/>
  </si>
  <si>
    <t>创建人</t>
    <phoneticPr fontId="3" type="noConversion"/>
  </si>
  <si>
    <t>创建日期</t>
    <phoneticPr fontId="3" type="noConversion"/>
  </si>
  <si>
    <t>是否有效</t>
    <phoneticPr fontId="3" type="noConversion"/>
  </si>
  <si>
    <t>勾选框，选择该配置条件生效，并可以运行该配置条件</t>
    <phoneticPr fontId="3" type="noConversion"/>
  </si>
  <si>
    <t>根据创建日期自动赋值</t>
    <phoneticPr fontId="3" type="noConversion"/>
  </si>
  <si>
    <t>根据登录账户user，创建人自动赋值</t>
    <phoneticPr fontId="3" type="noConversion"/>
  </si>
  <si>
    <t>根据"供应商编码SEGMENT1"字段到表"AP_SUPPLIERS"取"VENDOR_NAME"，</t>
    <phoneticPr fontId="3" type="noConversion"/>
  </si>
  <si>
    <t>仓位名称</t>
    <phoneticPr fontId="3" type="noConversion"/>
  </si>
  <si>
    <t>获取EBS表"MRP_SCHEDULE_DESIGNATORS"，字段"SCHEDULE_DESIGNATOR"对应的"组织"</t>
    <phoneticPr fontId="3" type="noConversion"/>
  </si>
  <si>
    <t>工单齐套-工单详情</t>
  </si>
  <si>
    <t>接口</t>
    <phoneticPr fontId="3" type="noConversion"/>
  </si>
  <si>
    <t>前端页面</t>
    <phoneticPr fontId="3" type="noConversion"/>
  </si>
  <si>
    <t>底表</t>
    <phoneticPr fontId="3" type="noConversion"/>
  </si>
  <si>
    <t>工单齐套优先级配置表</t>
    <phoneticPr fontId="3" type="noConversion"/>
  </si>
  <si>
    <t>OMS订单页面，"要求完成日期"改必填</t>
    <phoneticPr fontId="3" type="noConversion"/>
  </si>
  <si>
    <t>OMS，工单变更时"起始MRP日期"变为可变更字段</t>
    <phoneticPr fontId="3" type="noConversion"/>
  </si>
  <si>
    <t>理论可用库存(含PO&amp;工单)</t>
    <phoneticPr fontId="4" type="noConversion"/>
  </si>
  <si>
    <t>每次运行工单齐套计算，当前行IF 工单缺料数量(当前库存) ＜0，该栏位显示不齐套，IF 工单缺料数量(当前库存)≥0，记录当前运行齐套的日期。
该字段需存表，记录每次跑工单齐套时，对应工单行项目物料是否齐套</t>
    <phoneticPr fontId="4" type="noConversion"/>
  </si>
  <si>
    <t>供给明细</t>
    <phoneticPr fontId="4" type="noConversion"/>
  </si>
  <si>
    <t>运行时根据选择的配置编码，赋值</t>
    <phoneticPr fontId="4" type="noConversion"/>
  </si>
  <si>
    <t>根据运行的账户赋值</t>
    <phoneticPr fontId="4" type="noConversion"/>
  </si>
  <si>
    <t>可用量</t>
    <phoneticPr fontId="4" type="noConversion"/>
  </si>
  <si>
    <t>获取 工单号-组件料号-可用量QOH</t>
    <phoneticPr fontId="4" type="noConversion"/>
  </si>
  <si>
    <t>必需</t>
    <phoneticPr fontId="3" type="noConversion"/>
  </si>
  <si>
    <t>获取 工单号-组件料号-已发料量QUANTITY_ISSUED</t>
    <phoneticPr fontId="4" type="noConversion"/>
  </si>
  <si>
    <t>获取 工单号-组件料号-必需REQ_QUANT_DIS</t>
    <phoneticPr fontId="3" type="noConversion"/>
  </si>
  <si>
    <t>获取 工单号-组件料号-未完成QUANTITY_OPEN</t>
    <phoneticPr fontId="4" type="noConversion"/>
  </si>
  <si>
    <t>获取 工单号-组件料号-单位用量QUANTITY_PER_ASSEMBLY(每个装配件)</t>
    <phoneticPr fontId="3" type="noConversion"/>
  </si>
  <si>
    <t>获取 工单号-组件料号-产出率COMPONENT_YIELD_FACTOR</t>
    <phoneticPr fontId="4" type="noConversion"/>
  </si>
  <si>
    <t>获取 工单号-起始(MRP)日期M_SCHEDULED_START_DATE</t>
    <phoneticPr fontId="4" type="noConversion"/>
  </si>
  <si>
    <t>工单缺料数量</t>
    <phoneticPr fontId="4" type="noConversion"/>
  </si>
  <si>
    <t>未发料数量</t>
    <phoneticPr fontId="3" type="noConversion"/>
  </si>
  <si>
    <t>可用库存缺料数</t>
    <phoneticPr fontId="4" type="noConversion"/>
  </si>
  <si>
    <t>参考"可用库存缺料数"的计算逻辑计算，当某个工单的可用库存数量扣减为负数以后，后续行的优先级工单的组件物料需求的"工单缺料数量"直接等于工单的未发料数量，不累计扣除。若扣减数量≥0，显示0，若＜0，显示红色负数</t>
    <phoneticPr fontId="4" type="noConversion"/>
  </si>
  <si>
    <t>当对应行，“可用库存缺料数”≥0时，等于“当前可用库存缺料数”，若＜0，则等于0</t>
    <phoneticPr fontId="4" type="noConversion"/>
  </si>
  <si>
    <t>在运行齐套时，根据"配置表-齐套规则计算配置表"按照配置条件在，取EBS 表"wip_discrete_jobs_v "对应符合配置条件的工单，
增加链接，通过点工单号跳转到"工单齐套-工单详情"，并筛选相应的数据</t>
    <phoneticPr fontId="4" type="noConversion"/>
  </si>
  <si>
    <t>通过"工单号"，取表EBS"wip_requirement_operations"工单行数据
增加链接，通过点组件料号跳转到"工单齐套-物料详情"，并筛选相应的数据</t>
    <phoneticPr fontId="3" type="noConversion"/>
  </si>
  <si>
    <t>输入：
    配置库存数量(期初库存，用于首行计算)
    事件列表
        需求清单：
        select "配置表-齐套规则计算配置表" AND "工单齐套优先级配置表-工单优先级" 
        根据"配置编码'，查询出符合配置条件的工单数据
            IF "工单优先级" != NULL
                按照工单"工单优先级"排序，
            IF else "工单优先级"!=NULL  AND "工单优先级"相等的行数据。
                按照"起始MRP日期"排序
            IF “工单优先级”=NULL
                按照"起始MRP日期"进行工单优先级排序
        供给清单：
        根据当前行"组件编码"，找如下数据：
            PO：
                输入 行项"组件编码"
                从"SRM采购订单交期报表create table srm_po_allocation_lines" 筛选出满足以下条件的记录
                物料编码 = 输入行项目料号
                且 采购订单状态 = 打开
                取查询到数据的"承诺数量"、"promise_date承诺日期"
 按照"承诺日期"排序，作为PO的供给日期
            WO：
                输入 行项"组件编码"
                从"工单信息表内"筛选出满足以下条件的记录
                物料编码 = 输入行项目料号
                且 工单状态="已发放"or"未发放"
                取查询到数据的"剩余数量M_QUANTITY_REMAINING"、"起始完成日期M_SCHEDULED_COMPLETION_DATE"
 按照"起始完成日期"排序，作为WO的供给日期
输出：
    每一行工单计算后的，"理论可用库存(含PO&amp;工单)"预计数量
    如果截止到某工单库存不够，且在未取到对应的供给数据，将需求缺口汇总后，系统建议补充多少数量
计算逻辑：
    1.在初始化计算时，将"配置库存数量'="期初库存"
    2.遍历输入条件，区分"供给"&amp;"需求"事件类型，并根据"工单优先级"和"供给日期"进行排序
    3.按照优先级排序规则，将"组件编码"相同的组件使用时间序列或FIFO算法计算方式，逐行处理。
            第一优先级的"理论可用库存(含PO&amp;工单)"="期初库存" - 本行"未发料数量" + 供给数据(PO+WO)，
 供给数据取值规则：遍历供给清单，取"供给日期"≤当前工单行"起始MRP"日期  AND  供给日期≥上个优先级工单行"起始MRP"日期的PO &amp; WO
     IF PO，取"承诺数量"，并汇总
     IF WO，取"剩余数量"，并汇总
    4.第二优先级起，的"理论可用库存(含PO&amp;工单)"=上行"理论可用库存(含PO&amp;工单)" - 本行"未发料数量" + 供给数据(PO+WO)，依次按照优先级算出每行的"理论可用库存(含PO&amp;工单)"，第三优先级及以后以此类推。
   5.IF "理论可用库存(含PO&amp;工单)"＜0，红色字体显示，负数累计</t>
    <phoneticPr fontId="4" type="noConversion"/>
  </si>
  <si>
    <t>是否存在替代料</t>
    <phoneticPr fontId="4" type="noConversion"/>
  </si>
  <si>
    <t>Y or N</t>
    <phoneticPr fontId="4" type="noConversion"/>
  </si>
  <si>
    <t>叠die数</t>
    <phoneticPr fontId="4" type="noConversion"/>
  </si>
  <si>
    <t>通过"工单号-料号"获取</t>
    <phoneticPr fontId="3" type="noConversion"/>
  </si>
  <si>
    <t>备注</t>
  </si>
  <si>
    <t>通过"工单号"获取，取OMS的工单头表，通过工单号，关联订单号</t>
    <phoneticPr fontId="3" type="noConversion"/>
  </si>
  <si>
    <t>取工单齐套明细，"预计齐料日期"，最晚日期值，赋值到此处</t>
    <phoneticPr fontId="3" type="noConversion"/>
  </si>
  <si>
    <t>取工单齐套明细，"实际齐料日期"，最晚日期值，赋值到此处</t>
    <phoneticPr fontId="3" type="noConversion"/>
  </si>
  <si>
    <t>是否齐套</t>
  </si>
  <si>
    <t>是否齐套</t>
    <phoneticPr fontId="3" type="noConversion"/>
  </si>
  <si>
    <t>工单缺料数</t>
    <phoneticPr fontId="3" type="noConversion"/>
  </si>
  <si>
    <t>未发料数量</t>
  </si>
  <si>
    <t>单位用量</t>
  </si>
  <si>
    <t>单位用量</t>
    <phoneticPr fontId="3" type="noConversion"/>
  </si>
  <si>
    <t>产出率</t>
    <phoneticPr fontId="3" type="noConversion"/>
  </si>
  <si>
    <t>已发料齐套数</t>
  </si>
  <si>
    <t>已发料齐套数</t>
    <phoneticPr fontId="4" type="noConversion"/>
  </si>
  <si>
    <t>已发料量</t>
  </si>
  <si>
    <t>已发料量</t>
    <phoneticPr fontId="3" type="noConversion"/>
  </si>
  <si>
    <t>总需求量</t>
    <phoneticPr fontId="3" type="noConversion"/>
  </si>
  <si>
    <t>转单数量</t>
  </si>
  <si>
    <t>剩余物料未齐套数量</t>
    <phoneticPr fontId="3" type="noConversion"/>
  </si>
  <si>
    <t>物料最大可齐套数</t>
    <phoneticPr fontId="3" type="noConversion"/>
  </si>
  <si>
    <t xml:space="preserve"> "已发料量" / "单位用量"  * "产出率" </t>
    <phoneticPr fontId="4" type="noConversion"/>
  </si>
  <si>
    <t>已承诺物料齐套数</t>
  </si>
  <si>
    <t>已承诺物料齐套数</t>
    <phoneticPr fontId="4" type="noConversion"/>
  </si>
  <si>
    <t>"转单数量"- "已发料齐套数" - "已承诺物料齐套数"</t>
    <phoneticPr fontId="4" type="noConversion"/>
  </si>
  <si>
    <t>查"工单齐套明细表"，通过"工单号"  ，遍历"已承诺物料齐套数"，取最小值，赋值</t>
    <phoneticPr fontId="3" type="noConversion"/>
  </si>
  <si>
    <t>已承诺物料最小齐套数</t>
  </si>
  <si>
    <t>已承诺物料最小齐套数</t>
    <phoneticPr fontId="3" type="noConversion"/>
  </si>
  <si>
    <t>已发料数量齐套数</t>
  </si>
  <si>
    <t>已发料数量齐套数</t>
    <phoneticPr fontId="3" type="noConversion"/>
  </si>
  <si>
    <t>剩余齐套数</t>
  </si>
  <si>
    <t>查"工单齐套明细表"，通过"工单号"  ，遍历"已发料齐套数"，取最小值，赋值</t>
    <phoneticPr fontId="3" type="noConversion"/>
  </si>
  <si>
    <t>未齐套数</t>
  </si>
  <si>
    <t>未齐套数</t>
    <phoneticPr fontId="4" type="noConversion"/>
  </si>
  <si>
    <t>查"工单齐套明细表"，通过"工单号"  ，遍历"未齐套数"，取最小值，赋值</t>
    <phoneticPr fontId="3" type="noConversion"/>
  </si>
  <si>
    <t>查"工单齐套明细表"，select"工单号", 遍历"工单缺料数量"
  IF 任意一组件“工单缺料数量”＜0，= 未齐套，
  else 齐套</t>
    <phoneticPr fontId="3" type="noConversion"/>
  </si>
  <si>
    <t>SO</t>
    <phoneticPr fontId="3" type="noConversion"/>
  </si>
  <si>
    <t>已发</t>
    <phoneticPr fontId="3" type="noConversion"/>
  </si>
  <si>
    <t>FCST</t>
    <phoneticPr fontId="3" type="noConversion"/>
  </si>
  <si>
    <t>未发</t>
    <phoneticPr fontId="3" type="noConversion"/>
  </si>
  <si>
    <t>总需求</t>
    <phoneticPr fontId="3" type="noConversion"/>
  </si>
  <si>
    <t>上月结余</t>
    <phoneticPr fontId="3" type="noConversion"/>
  </si>
  <si>
    <t>已发货</t>
    <phoneticPr fontId="3" type="noConversion"/>
  </si>
  <si>
    <t>结余库存</t>
    <phoneticPr fontId="3" type="noConversion"/>
  </si>
  <si>
    <t>5月</t>
    <phoneticPr fontId="3" type="noConversion"/>
  </si>
  <si>
    <t>通过"工单号"获取，值显示{{简称},{编码}}，例， 南京华天,NJHT</t>
    <phoneticPr fontId="3" type="noConversion"/>
  </si>
  <si>
    <t>取"配置编码"运行齐套的时间赋值</t>
    <phoneticPr fontId="4" type="noConversion"/>
  </si>
  <si>
    <t>通过"配置编码"赋值</t>
    <phoneticPr fontId="4" type="noConversion"/>
  </si>
  <si>
    <t>齐套进度</t>
  </si>
  <si>
    <t>齐套进度</t>
    <phoneticPr fontId="3" type="noConversion"/>
  </si>
  <si>
    <t>序号</t>
  </si>
  <si>
    <t>屏幕名称</t>
  </si>
  <si>
    <t>工单齐套明细</t>
  </si>
  <si>
    <t>工单齐套-物料详情-物料关联工单信息</t>
  </si>
  <si>
    <t>齐套规则计算配置表</t>
  </si>
  <si>
    <t>齐套规则计算配置表-组织配置屏幕</t>
  </si>
  <si>
    <t>齐套规则计算配置表-分类码配置屏幕</t>
  </si>
  <si>
    <t>齐套规则计算配置表-供应商配置屏幕</t>
  </si>
  <si>
    <t>齐套规则计算配置表-工单状态配置屏幕</t>
  </si>
  <si>
    <t>操作</t>
  </si>
  <si>
    <t>操作</t>
    <phoneticPr fontId="4" type="noConversion"/>
  </si>
  <si>
    <t>组织</t>
  </si>
  <si>
    <t>产品线</t>
    <phoneticPr fontId="3" type="noConversion"/>
  </si>
  <si>
    <t>转单人</t>
  </si>
  <si>
    <t>转单时间</t>
  </si>
  <si>
    <t>工单优先级</t>
  </si>
  <si>
    <t>是否启用</t>
  </si>
  <si>
    <t>是否启用</t>
    <phoneticPr fontId="3" type="noConversion"/>
  </si>
  <si>
    <t>自动改给号</t>
    <phoneticPr fontId="3" type="noConversion"/>
  </si>
  <si>
    <t>组织ID</t>
  </si>
  <si>
    <t>组织ID</t>
    <phoneticPr fontId="3" type="noConversion"/>
  </si>
  <si>
    <t>通过组织ID 获取</t>
    <phoneticPr fontId="3" type="noConversion"/>
  </si>
  <si>
    <t>自动赋值</t>
    <phoneticPr fontId="3" type="noConversion"/>
  </si>
  <si>
    <t>分类码</t>
  </si>
  <si>
    <t>是否有效</t>
  </si>
  <si>
    <t>是否可编辑</t>
    <phoneticPr fontId="3" type="noConversion"/>
  </si>
  <si>
    <t>通过"工单号-料号",获取</t>
    <phoneticPr fontId="4" type="noConversion"/>
  </si>
  <si>
    <t>是否齐套</t>
    <phoneticPr fontId="4" type="noConversion"/>
  </si>
  <si>
    <t>IF "工单缺料数量" ＜ 0，
    = "未齐套"
else  = "齐套"</t>
    <phoneticPr fontId="4" type="noConversion"/>
  </si>
  <si>
    <t>控件类型</t>
  </si>
  <si>
    <t>多值分隔方式</t>
  </si>
  <si>
    <t>是否支持高级查询</t>
  </si>
  <si>
    <t>高级查询可用运算符</t>
  </si>
  <si>
    <t>-</t>
  </si>
  <si>
    <t>是</t>
  </si>
  <si>
    <t>是（按整串存储）</t>
  </si>
  <si>
    <t>下拉单选</t>
  </si>
  <si>
    <t>否</t>
  </si>
  <si>
    <t>NUM-RANGE</t>
  </si>
  <si>
    <t>最小值、最大值输入框</t>
  </si>
  <si>
    <t>DATE-SINGLE</t>
  </si>
  <si>
    <t>日期选择器</t>
  </si>
  <si>
    <t>BOOL</t>
  </si>
  <si>
    <t>下拉（全部/是/否）</t>
  </si>
  <si>
    <t>等于、不等于</t>
  </si>
  <si>
    <t>多选值以 数组 传递</t>
  </si>
  <si>
    <t>等于、不等于、包含、不包含、开头是、结尾是、为空、不为空</t>
    <phoneticPr fontId="3" type="noConversion"/>
  </si>
  <si>
    <t>搜索历史记录</t>
    <phoneticPr fontId="3" type="noConversion"/>
  </si>
  <si>
    <t>下拉多选（含全选，反选）</t>
    <phoneticPr fontId="3" type="noConversion"/>
  </si>
  <si>
    <t>搜索编号</t>
    <phoneticPr fontId="3" type="noConversion"/>
  </si>
  <si>
    <t>搜索方式</t>
    <phoneticPr fontId="3" type="noConversion"/>
  </si>
  <si>
    <t>NUM</t>
    <phoneticPr fontId="3" type="noConversion"/>
  </si>
  <si>
    <t>DATA</t>
    <phoneticPr fontId="3" type="noConversion"/>
  </si>
  <si>
    <t>BOOL</t>
    <phoneticPr fontId="3" type="noConversion"/>
  </si>
  <si>
    <t>等于、不等于、包含、不包含（用于 IN / NOT IN）</t>
    <phoneticPr fontId="3" type="noConversion"/>
  </si>
  <si>
    <t>等于、不等于、为空、不为空</t>
    <phoneticPr fontId="3" type="noConversion"/>
  </si>
  <si>
    <t>通配符查询</t>
    <phoneticPr fontId="3" type="noConversion"/>
  </si>
  <si>
    <t>*</t>
    <phoneticPr fontId="3" type="noConversion"/>
  </si>
  <si>
    <t>基础查询</t>
    <phoneticPr fontId="3" type="noConversion"/>
  </si>
  <si>
    <t>英文逗号</t>
    <phoneticPr fontId="3" type="noConversion"/>
  </si>
  <si>
    <t>高级查询</t>
    <phoneticPr fontId="3" type="noConversion"/>
  </si>
  <si>
    <t>是/否/NULL</t>
    <phoneticPr fontId="3" type="noConversion"/>
  </si>
  <si>
    <t>字段描述</t>
    <phoneticPr fontId="3" type="noConversion"/>
  </si>
  <si>
    <t>中文名称</t>
  </si>
  <si>
    <t>数据类型</t>
  </si>
  <si>
    <t>配置编码</t>
  </si>
  <si>
    <t>configCode</t>
  </si>
  <si>
    <t>配置描述</t>
  </si>
  <si>
    <t>configDesc</t>
  </si>
  <si>
    <t>orgName</t>
  </si>
  <si>
    <t>组织名称，另有组织ID</t>
  </si>
  <si>
    <t>categoryCode</t>
  </si>
  <si>
    <t>calcSubInvNetValueName</t>
  </si>
  <si>
    <t>calcSubInvNetValueDesc</t>
  </si>
  <si>
    <t>供应商编码</t>
  </si>
  <si>
    <t>supplierCode</t>
  </si>
  <si>
    <t>supplierDesc</t>
  </si>
  <si>
    <t>工单状态</t>
  </si>
  <si>
    <t>workOrderStatus</t>
  </si>
  <si>
    <t>创建人</t>
  </si>
  <si>
    <t>createdBy</t>
  </si>
  <si>
    <t>创建日期</t>
  </si>
  <si>
    <t>createDate</t>
  </si>
  <si>
    <t>Date</t>
  </si>
  <si>
    <t>updatedBy</t>
  </si>
  <si>
    <t>updateDate</t>
  </si>
  <si>
    <t>isActive</t>
  </si>
  <si>
    <t>Boolean</t>
  </si>
  <si>
    <t>订单编号</t>
  </si>
  <si>
    <t>orderNo</t>
  </si>
  <si>
    <t>订单创建日期</t>
  </si>
  <si>
    <t>orderCreateDate</t>
  </si>
  <si>
    <t>orderCreator</t>
  </si>
  <si>
    <t>订单类型</t>
  </si>
  <si>
    <t>orderType</t>
  </si>
  <si>
    <t>料号</t>
  </si>
  <si>
    <t>物料编码</t>
  </si>
  <si>
    <t>叠die数</t>
  </si>
  <si>
    <t>dieStackQty</t>
  </si>
  <si>
    <t>产品类别</t>
  </si>
  <si>
    <t>productCategory</t>
  </si>
  <si>
    <t>容量</t>
  </si>
  <si>
    <t>capacity</t>
  </si>
  <si>
    <t>可含单位，如“256GB”</t>
  </si>
  <si>
    <t>产品PN</t>
  </si>
  <si>
    <t>productPn</t>
  </si>
  <si>
    <t>说明</t>
  </si>
  <si>
    <t>下单数量</t>
  </si>
  <si>
    <t>orderQty</t>
  </si>
  <si>
    <t>要求完成日期</t>
  </si>
  <si>
    <t>requiredCompletionDate</t>
  </si>
  <si>
    <t>工单分类</t>
  </si>
  <si>
    <t>workOrderCategory</t>
  </si>
  <si>
    <t>workOrderNo</t>
  </si>
  <si>
    <t>workOrderPriority</t>
  </si>
  <si>
    <t>HIGH/MEDIUM/LOW</t>
  </si>
  <si>
    <t>transferBy</t>
  </si>
  <si>
    <t>transferTime</t>
  </si>
  <si>
    <t>DateTime</t>
  </si>
  <si>
    <t>transferQty</t>
  </si>
  <si>
    <t>已完工数量</t>
  </si>
  <si>
    <t>completedQty</t>
  </si>
  <si>
    <t>报废数量</t>
  </si>
  <si>
    <t>scrapQty</t>
  </si>
  <si>
    <t>未完成数量</t>
  </si>
  <si>
    <t>incompleteQty</t>
  </si>
  <si>
    <t>要求齐料日期（起始(MRP)日期）</t>
  </si>
  <si>
    <t>requiredMaterialDate</t>
  </si>
  <si>
    <t>或 mrpStartDate</t>
  </si>
  <si>
    <t>seqNo</t>
  </si>
  <si>
    <t>orgId</t>
  </si>
  <si>
    <t>可用Long，视系统而定</t>
  </si>
  <si>
    <t>isEnabled</t>
  </si>
  <si>
    <t>locationCode</t>
  </si>
  <si>
    <t>locationName</t>
  </si>
  <si>
    <t>运行时间</t>
  </si>
  <si>
    <t>runTime</t>
  </si>
  <si>
    <t>最后运行人</t>
  </si>
  <si>
    <t>lastRunBy</t>
  </si>
  <si>
    <t>componentMaterialCode</t>
  </si>
  <si>
    <t>组件物料编码</t>
  </si>
  <si>
    <t>componentMaterialDesc</t>
  </si>
  <si>
    <t>componentLeadTime</t>
  </si>
  <si>
    <t>单位：天</t>
  </si>
  <si>
    <t>零部件类别</t>
  </si>
  <si>
    <t>componentCategory</t>
  </si>
  <si>
    <t>组件分类</t>
  </si>
  <si>
    <t>componentType</t>
  </si>
  <si>
    <t>unitUsage</t>
  </si>
  <si>
    <t>isRequired</t>
  </si>
  <si>
    <t>yieldRate</t>
  </si>
  <si>
    <t>如0.98表示98%</t>
  </si>
  <si>
    <t>issuedQty</t>
  </si>
  <si>
    <t>unIssuedQty</t>
  </si>
  <si>
    <t>可用量</t>
  </si>
  <si>
    <t>availableQty</t>
  </si>
  <si>
    <t>onHandQty</t>
  </si>
  <si>
    <t>发料仓</t>
  </si>
  <si>
    <t>issueWarehouse</t>
  </si>
  <si>
    <t>配置库存数量</t>
  </si>
  <si>
    <t>configInventoryQty</t>
  </si>
  <si>
    <t>工单缺料数量</t>
  </si>
  <si>
    <t>woShortageQty</t>
  </si>
  <si>
    <t>committedKitQty</t>
  </si>
  <si>
    <t>issuedKitQty</t>
  </si>
  <si>
    <t>unKitQty</t>
  </si>
  <si>
    <t>可用库存缺料数</t>
  </si>
  <si>
    <t>availableStockShortageQty</t>
  </si>
  <si>
    <t>theoreticalAvailableStock</t>
  </si>
  <si>
    <t>理论可用库存(含PO&amp;工单)</t>
  </si>
  <si>
    <t>theoreticalAvailableStockInclPoWo</t>
  </si>
  <si>
    <t>供给明细</t>
  </si>
  <si>
    <t>supplyDetails</t>
  </si>
  <si>
    <t>预计齐料日期</t>
  </si>
  <si>
    <t>estimatedMaterialReadyDate</t>
  </si>
  <si>
    <t>实际齐料日期</t>
  </si>
  <si>
    <t>actualMaterialReadyDate</t>
  </si>
  <si>
    <t>组件责任方</t>
  </si>
  <si>
    <t>componentResponsibleParty</t>
  </si>
  <si>
    <t>是否存在替代料</t>
  </si>
  <si>
    <t>hasAlternativeMaterial</t>
  </si>
  <si>
    <t>替代料及库存</t>
  </si>
  <si>
    <t>alternativeMaterialStock</t>
  </si>
  <si>
    <t>isKitComplete</t>
  </si>
  <si>
    <t>operations</t>
  </si>
  <si>
    <t>前端渲染用，无实际字段</t>
  </si>
  <si>
    <t>issuedQtyKitQty</t>
  </si>
  <si>
    <t>为避免重复可替换为 issuedKitQty</t>
  </si>
  <si>
    <t>remainingKitQty</t>
  </si>
  <si>
    <t>kitProgress</t>
  </si>
  <si>
    <t>比例0~1或百分数字符串</t>
  </si>
  <si>
    <t>-</t>
    <phoneticPr fontId="3" type="noConversion"/>
  </si>
  <si>
    <t>数量</t>
    <phoneticPr fontId="3" type="noConversion"/>
  </si>
  <si>
    <t>供应商编码</t>
    <phoneticPr fontId="4" type="noConversion"/>
  </si>
  <si>
    <t>供应商简称</t>
  </si>
  <si>
    <t>供应商简称</t>
    <phoneticPr fontId="3" type="noConversion"/>
  </si>
  <si>
    <t>前端渲染用，无实际字段，超链接</t>
    <phoneticPr fontId="3" type="noConversion"/>
  </si>
  <si>
    <t>运算符选择区间时，弹出一个输入最小值的输入框</t>
    <phoneticPr fontId="3" type="noConversion"/>
  </si>
  <si>
    <t>等于、不等于、大于、小于、大于等于、小于等于、区间、为空、不为空</t>
    <phoneticPr fontId="3" type="noConversion"/>
  </si>
  <si>
    <t>等于、不等于、早于、大于、小于、大于等于、小于等于、不为空</t>
    <phoneticPr fontId="3" type="noConversion"/>
  </si>
  <si>
    <t>productLine</t>
    <phoneticPr fontId="3" type="noConversion"/>
  </si>
  <si>
    <t>输入框（多条件输入）</t>
    <phoneticPr fontId="3" type="noConversion"/>
  </si>
  <si>
    <t>输入框</t>
    <phoneticPr fontId="3" type="noConversion"/>
  </si>
  <si>
    <t>屏幕功能</t>
    <phoneticPr fontId="3" type="noConversion"/>
  </si>
  <si>
    <t>屏幕编号</t>
    <phoneticPr fontId="3" type="noConversion"/>
  </si>
  <si>
    <t>字段功能</t>
    <phoneticPr fontId="3" type="noConversion"/>
  </si>
  <si>
    <t>基础查询、高级查询</t>
    <phoneticPr fontId="3" type="noConversion"/>
  </si>
  <si>
    <t>是否编辑</t>
    <phoneticPr fontId="3" type="noConversion"/>
  </si>
  <si>
    <t>默认不勾选，当勾选时，即考虑所选组织的工单取值范围，支持多条件勾选，表头列字段，支持一键全选，取消全选</t>
    <phoneticPr fontId="3" type="noConversion"/>
  </si>
  <si>
    <t>根据分类码，取分类码，对应"组织"</t>
    <phoneticPr fontId="3" type="noConversion"/>
  </si>
  <si>
    <t>根据"子库存净值名称"，取值</t>
    <phoneticPr fontId="3" type="noConversion"/>
  </si>
  <si>
    <t>工单齐套优先级维护表</t>
    <phoneticPr fontId="3" type="noConversion"/>
  </si>
  <si>
    <t>点击可编辑字段，进行相关数据的维护配置</t>
    <phoneticPr fontId="3" type="noConversion"/>
  </si>
  <si>
    <t>根据仓位编码，获取仓位说明</t>
    <phoneticPr fontId="3" type="noConversion"/>
  </si>
  <si>
    <t>根据"子库存净值名称SCHEDULE_DESIGNATOR"，到EBS，取"MRP_SUB_INVENTORIES_V"内对应的仓位名称</t>
    <phoneticPr fontId="3" type="noConversion"/>
  </si>
  <si>
    <t>仓位说明</t>
    <phoneticPr fontId="3" type="noConversion"/>
  </si>
  <si>
    <t>齐套规则计算配置表-供给仓位配置</t>
    <phoneticPr fontId="3" type="noConversion"/>
  </si>
  <si>
    <t>齐套规则计算配置表-供给仓位配置-仓位选择</t>
    <phoneticPr fontId="3" type="noConversion"/>
  </si>
  <si>
    <t>EBS供给仓位配置</t>
    <phoneticPr fontId="3" type="noConversion"/>
  </si>
  <si>
    <t>EBS供给仓位配置说明</t>
    <phoneticPr fontId="3" type="noConversion"/>
  </si>
  <si>
    <t>默认不勾选，勾选时，考虑对应条件的工单类型，表头列字段，支持一键全选，取消全选</t>
    <phoneticPr fontId="3" type="noConversion"/>
  </si>
  <si>
    <t>勾选框， 是否生效，默认不勾选，决定时否启用该"EBS供给仓位配置"</t>
    <phoneticPr fontId="3" type="noConversion"/>
  </si>
  <si>
    <t>勾选框， 默认不勾选，按勾选，决定是否考虑，表头列字段，支持一键全选，取消全选</t>
    <phoneticPr fontId="3" type="noConversion"/>
  </si>
  <si>
    <t>必输</t>
    <phoneticPr fontId="3" type="noConversion"/>
  </si>
  <si>
    <t>查询时必输</t>
    <phoneticPr fontId="3" type="noConversion"/>
  </si>
  <si>
    <t>根据查询时，选择"组织"查询出的，"供应商编码"对应的"组织"赋值</t>
    <phoneticPr fontId="3" type="noConversion"/>
  </si>
  <si>
    <t>初始化配置时，默认读取EBS全"组织"
配置值，支持勾选多组织，取EBS表"HR_ORGANIZATION_UNITS_V'，值'ORGANIZATION_CODE'，在每次查询时，动态取EBS组织清单</t>
    <phoneticPr fontId="3" type="noConversion"/>
  </si>
  <si>
    <t>配置值，支持勾选多个值，取EBS表"WIP_ACCOUNTING_CLASSES",值"CLASS_CODE"，根据所选配置组织，取出所有相应组织的"分类码"</t>
    <phoneticPr fontId="3" type="noConversion"/>
  </si>
  <si>
    <t>根据配置条件"组织"，获取EBS对应组织的，所有"子库存净值名称SCHEDULE_DESIGNATOR"的数据，到该列表下</t>
    <phoneticPr fontId="3" type="noConversion"/>
  </si>
  <si>
    <t>根据配置的组织，取EBS相应组织，表"AP_SUPPLIERS"，字段"VENDOR_TYPE_LOOKUP_CODE"=委外供应商的，字段"SEGMENT1"，</t>
    <phoneticPr fontId="3" type="noConversion"/>
  </si>
  <si>
    <t>自动给号，YY+MM+00001(五位流水)，按照如下配置项的数据，通过组成配置信息，过滤工单数据，进行齐套运算</t>
    <phoneticPr fontId="3" type="noConversion"/>
  </si>
  <si>
    <t>取EBS
select  lu.meaning,LU.LOOKUP_CODE
                    from fnd_lookup_values lu
                    WHERE lu.language = 'ZHS'
                   and lu.lookup_type = 'WIP_JOB_STATUS'</t>
    <phoneticPr fontId="3" type="noConversion"/>
  </si>
  <si>
    <t>-</t>
    <phoneticPr fontId="4" type="noConversion"/>
  </si>
  <si>
    <t>工单当前齐套数</t>
  </si>
  <si>
    <t>工单当前齐套数</t>
    <phoneticPr fontId="3" type="noConversion"/>
  </si>
  <si>
    <t>committedMinKitQty</t>
    <phoneticPr fontId="3" type="noConversion"/>
  </si>
  <si>
    <t>committedSumQty</t>
    <phoneticPr fontId="3" type="noConversion"/>
  </si>
  <si>
    <t>固定右侧</t>
    <phoneticPr fontId="4" type="noConversion"/>
  </si>
  <si>
    <t>"已承诺物料齐套数" + "已发料齐套数"</t>
    <phoneticPr fontId="4" type="noConversion"/>
  </si>
  <si>
    <r>
      <t xml:space="preserve">初始化计算时，按照"组件编码"相等的物料"，根据优先级开始逐行扣减。
        工单优先级的排序逻辑：
        select "配置表-齐套规则计算配置表" AND "工单齐套优先级配置表-工单优先级" 
        根据"配置编码'，查询出符合配置条件的工单数据
            IF "工单优先级" != NULL
                按照工单"工单优先级"排序，
            IF else "工单优先级"!=NULL  AND "工单优先级"相等的行数据。
                按照"起始MRP日期"排序。
            IF “工单优先级”=NULL
                按照"起始MRP日期"进行工单优先级排序
</t>
    </r>
    <r>
      <rPr>
        <i/>
        <sz val="10"/>
        <color theme="1"/>
        <rFont val="微软雅黑"/>
        <family val="2"/>
        <charset val="134"/>
      </rPr>
      <t>计算逻辑：</t>
    </r>
    <r>
      <rPr>
        <sz val="10"/>
        <color theme="1"/>
        <rFont val="微软雅黑"/>
        <family val="2"/>
        <charset val="134"/>
      </rPr>
      <t xml:space="preserve">
在优先级最高的组件编码，通过"配置库存数量" - "未发料数量"="当前可用库存缺料数(优先级1的逻辑值)"，然后暂存该值用于下一行计算。
继续找到优先级2相等的"组件编码"物料，由上行算出的"可用库存缺料数" - "未发料数量"="可用库存缺料数(优先级2逻辑值)"。
在找到优先级3相等的"组件编码"物料，由"可用库存缺料数(优先级2逻辑值)"-"未发料数量"=可用库存缺料数(优先级3逻辑值)。
以此类推，该字段存入每行算出来的逻辑值，若计算负数，以红色字体呈现，且一直负数累计</t>
    </r>
    <phoneticPr fontId="4" type="noConversion"/>
  </si>
  <si>
    <t>剩余齐套数</t>
    <phoneticPr fontId="3" type="noConversion"/>
  </si>
  <si>
    <t>工单当前齐套数</t>
    <phoneticPr fontId="3" type="noConversion"/>
  </si>
  <si>
    <t>查"工单齐套明细表"，通过"工单号"  ，遍历"工单当前齐套数"，取最小值，赋值</t>
    <phoneticPr fontId="3" type="noConversion"/>
  </si>
  <si>
    <t>字段名</t>
    <phoneticPr fontId="3" type="noConversion"/>
  </si>
  <si>
    <t>·</t>
    <phoneticPr fontId="3" type="noConversion"/>
  </si>
  <si>
    <t>改造</t>
    <phoneticPr fontId="3" type="noConversion"/>
  </si>
  <si>
    <t>配置编码</t>
    <phoneticPr fontId="3" type="noConversion"/>
  </si>
  <si>
    <t>配置描述</t>
    <phoneticPr fontId="3" type="noConversion"/>
  </si>
  <si>
    <t>组织</t>
    <phoneticPr fontId="3" type="noConversion"/>
  </si>
  <si>
    <t>产品线</t>
    <phoneticPr fontId="3" type="noConversion"/>
  </si>
  <si>
    <t>是否资源</t>
    <phoneticPr fontId="3" type="noConversion"/>
  </si>
  <si>
    <t>现存数量</t>
    <phoneticPr fontId="3" type="noConversion"/>
  </si>
  <si>
    <t>组件责任方</t>
    <phoneticPr fontId="3" type="noConversion"/>
  </si>
  <si>
    <t>组件物料</t>
    <phoneticPr fontId="3" type="noConversion"/>
  </si>
  <si>
    <t>理论可用库存(含PO&amp;工单)</t>
    <phoneticPr fontId="3" type="noConversion"/>
  </si>
  <si>
    <t>Y/N</t>
    <phoneticPr fontId="3" type="noConversion"/>
  </si>
  <si>
    <t>isResource</t>
    <phoneticPr fontId="3" type="noConversion"/>
  </si>
  <si>
    <t>Y/N</t>
    <phoneticPr fontId="3" type="noConversion"/>
  </si>
  <si>
    <t>自动赋值</t>
    <phoneticPr fontId="3" type="noConversion"/>
  </si>
  <si>
    <t>查询条件必填</t>
    <phoneticPr fontId="3" type="noConversion"/>
  </si>
  <si>
    <t>所有涉及到该字段的屏幕，在查询和运行时，必填</t>
    <phoneticPr fontId="3" type="noConversion"/>
  </si>
  <si>
    <t>字段名(开发自定义)</t>
    <phoneticPr fontId="3" type="noConversion"/>
  </si>
  <si>
    <t>是/否/空</t>
    <phoneticPr fontId="3" type="noConversion"/>
  </si>
  <si>
    <t>齐套/不齐套</t>
    <phoneticPr fontId="3" type="noConversion"/>
  </si>
  <si>
    <t>仓库编码和名称</t>
    <phoneticPr fontId="3" type="noConversion"/>
  </si>
  <si>
    <t>进行中、完工、完工不计费</t>
    <phoneticPr fontId="3" type="noConversion"/>
  </si>
  <si>
    <t>通过"配置编码"取值</t>
    <phoneticPr fontId="3" type="noConversion"/>
  </si>
  <si>
    <t>根据组件编码，取EBS物料主数据，字段"IS_RESOURCES_FLAG"
Y为产品管控物料，N为非产品线管控物料</t>
    <phoneticPr fontId="3" type="noConversion"/>
  </si>
  <si>
    <t xml:space="preserve">通过当前行"组件物料"，按照《配置表-齐套规则计算配置表》，勾选的"仓位编码SUBINVENTORY_CODE"，取"现存数量LIMIT_ONHAND_QUANTITY"。
若"组件物料-是否资源"= Y，即为"产品线PRODUCT_LINE"管控的物料，按照配置"仓位编码SUBINVENTORY_CODE" AND "产品线PRODUCT_LINE" AND "组件料号" 取 "现存数量LIMIT_ONHAND_QUANTITY"  </t>
    <phoneticPr fontId="3" type="noConversion"/>
  </si>
  <si>
    <t>按"配置编码"&amp;"组件物料"&amp;"组织"，IF"组件物料-是否资源"=Y，按"产品线"分行</t>
    <phoneticPr fontId="3" type="noConversion"/>
  </si>
  <si>
    <t>取通过"组件料号"&amp;"组织"，取EBS 的"现存数量"LIMIT_ONHAND_QUANTITY字段</t>
    <phoneticPr fontId="3" type="noConversion"/>
  </si>
  <si>
    <t>通过"工单号"&amp;“组件料号”获取(子库存SUPPLY_SUBINVENTORY)</t>
    <phoneticPr fontId="3" type="noConversion"/>
  </si>
  <si>
    <t>将供给数据(PO&amp;WO)，按照"承诺日期（PO）"和"完成日期（WO）"，AND "组件料号" 做升序排序，同时将需求数据(工单BOM明细)，按照（工单优先级or起始MRP日期）AND "组件料号"进行排序。将供给数据的数量，依次分配到需求数据的工单行项物料上，扣减"缺料数量"
在程序运行时，"配置库存数量"作为最高优先级的供给数据，按工单优先级分配到对应的行项的物料"缺料数量“。依次扣减，直到"配置库存数量"扣减＜0，相应工单被分配为"配置库存数量"的工单数据的"预计齐料日期"等于工单齐套运行齐套日期，即代表当前库存可直接满足。
当"配置库存数量"扣减工单组件"缺料数量"不足后，根据工单对应行"组件物料"，按"供给清单"的字段逻辑，找供给数据PO&amp;WO，并且将供给清单按照"承诺日期（PO）"和"完成日期（WO）"进行排序，按优先级依次分配到"组件物料"相等的工单的"缺料数量"上，若分配到每个工单的供给单据，PO根据"承诺数量"扣减，WO根据"剩余数量"扣减，在进行每个工单遍历扣减后的结余数量，≥0，则记录相应供给数据的日期，赋值到该字段，若供给数据=PO，记"承诺日期"，若供给数据=WO，记“完成日期”。到"预计齐料日期"栏位。若依次扣减后，工单组件的需求数量，大于供给数量，则在不能满足的工单的组件组件内，该栏位赋值"在途PO&amp;WO，不足"
计算逻辑:
初始化：
    需求数据:根据"配置表-齐套规则计算配置表"表，筛选出的工单，对应的"组件物料"的"缺料数量"= 需求，齐料日期 = 空
    供给数据:按照"供给明细"字段取值逻辑，根据工单组件的料号找供给数量，供给数量 = 供给（PO="承诺数量"、WO="剩余数量"、库存="配置库存数量"）
区分"需求"&amp;"供给"数据
    将"供给"数据集中到一个表，分单据类型，物料，日期，剩余数量
    IF 单据类型="配置库存数量" ，日期="齐套计算时的日期"
    else if 单据类型 = "PO"，日期= "承诺日期"
    else if 单据类型 = "WO"，日期="完成日期"
输出：
  每个需求行的 "预计齐料日期"
排序：
    供给数据，按照 "物料编码" AND ”日期“ 排序
    需求数据：按照"组件物料" AND "优先级"or"起始MRP日期"排序(参考字段"可用库存缺料数"计算时，的工单排序规则)
赋值逻辑:
   FOR EACH 物料:
       在同物料内，按需求优先级，依次给每个需求行取供给：
       供给优先基于"配置库存数量"扣减，IF“配置库存数量”-"缺料数量"，扣减对应行，后的“配置库存数量”≥0,
       "预计齐料日期" = 当天日期
       ”配置库存数量“扣减完成后，按供给日期，依次通过供给单据扣减对应的行项的"缺料数量"，IF被扣减行，每行扣减后的"PO or WO"的数量≥0，
       "预计齐料日期" = 被扣减单据的 "日期"
       IF 被扣减后，每行扣件后的"PO" or "WO" 的数量＜0，则继续找下一个供给清单内"日期"的供给数据进行扣减
       IF 供给清单的数据不足扣除对应行项目的"缺料数量"时。
       "预计齐料日期" = “PO或WO数量不足”</t>
    <phoneticPr fontId="4" type="noConversion"/>
  </si>
  <si>
    <t xml:space="preserve">      
        "工单缺料数量" 不会＞0。
        IF  所在行"工单缺料数量" = 0 AND "已发料数量" ≤ "必需"  then (齐套计算运行时，已发料数量不等于需求数量，代表此时工单是还可以进行齐套的数量承诺，若工单缺料数量=0，代表该工单在运行齐套时，可承诺到该工单上的库存可以满足该工单的需求，所以承诺数量一定会是等于未发料数量，所以齐套数的计算公式如下)
        已承诺物料齐套数 = "未发料数量" / "单位用量" * "产出率"
       else if 所在行"工单缺料数量" ＜ 0  then（若工单缺料数量小于0，则代表当前库存，齐套运行时，不能满足当前工单数量，或部分满足，此时应"工单缺料数量"的负数加"未发料数量"，工单缺料数量绝对值不会大于未发料数量，若相等则代表该行物料一个数量都未承诺，这里计算会直接为0，若工单缺料数量小于未发料数量，则代表库存有部分可以承诺到该工单上，算出这部分库存承诺到工单上的数量，应该就是未发料数量+负数的工单缺料数量，算出齐套数公式如下）
       已承诺物料齐套数 =  ("工单缺料数量"+"未发料数量" ) / "单位用量" * "产出率"</t>
    <phoneticPr fontId="4" type="noConversion"/>
  </si>
  <si>
    <t>已承诺数量</t>
    <phoneticPr fontId="3" type="noConversion"/>
  </si>
  <si>
    <t>CommittedQty</t>
    <phoneticPr fontId="3" type="noConversion"/>
  </si>
  <si>
    <t>理论可用库存</t>
    <phoneticPr fontId="3" type="noConversion"/>
  </si>
  <si>
    <t>VARCHAR</t>
  </si>
  <si>
    <t>INT</t>
    <phoneticPr fontId="3" type="noConversion"/>
  </si>
  <si>
    <t xml:space="preserve"> </t>
    <phoneticPr fontId="3" type="noConversion"/>
  </si>
  <si>
    <t>"组件物料"获取"组件物料描述"</t>
    <phoneticPr fontId="3" type="noConversion"/>
  </si>
  <si>
    <t>按"配置编码"&amp;"组件物料"&amp;"组织"&amp;"产品线"，取汇总对应的"未发料数量"赋值到该栏位，IF"组件物料-是否资源"=Y，按照按"配置编码"&amp;"组件物料"&amp;"组织"&amp;"产品线"</t>
    <phoneticPr fontId="3" type="noConversion"/>
  </si>
  <si>
    <t>针对工单判断</t>
    <phoneticPr fontId="3" type="noConversion"/>
  </si>
  <si>
    <t>针对物料判断</t>
    <phoneticPr fontId="3" type="noConversion"/>
  </si>
  <si>
    <t>N/A</t>
    <phoneticPr fontId="3" type="noConversion"/>
  </si>
  <si>
    <t>item</t>
    <phoneticPr fontId="3" type="noConversion"/>
  </si>
  <si>
    <t>ITEM</t>
    <phoneticPr fontId="3" type="noConversion"/>
  </si>
  <si>
    <t>IF "工单缺料数量" = 0 
     "齐套"
     ELSE "不齐套"</t>
    <phoneticPr fontId="3" type="noConversion"/>
  </si>
  <si>
    <t>针对工单关联的组件齐套情况判断，工单关联组件，任意一料号不齐套，该工单为不齐套，反之齐套</t>
    <phoneticPr fontId="3" type="noConversion"/>
  </si>
  <si>
    <t>根据所选行的"工单号"带出</t>
    <phoneticPr fontId="3" type="noConversion"/>
  </si>
  <si>
    <t>head</t>
    <phoneticPr fontId="3" type="noConversion"/>
  </si>
  <si>
    <t>屏幕结构</t>
    <phoneticPr fontId="3" type="noConversion"/>
  </si>
  <si>
    <t>物料描述</t>
    <phoneticPr fontId="3" type="noConversion"/>
  </si>
  <si>
    <t>materialCode</t>
    <phoneticPr fontId="3" type="noConversion"/>
  </si>
  <si>
    <t>materialDes</t>
    <phoneticPr fontId="3" type="noConversion"/>
  </si>
  <si>
    <t>组织</t>
    <phoneticPr fontId="3" type="noConversion"/>
  </si>
  <si>
    <t>产品线</t>
    <phoneticPr fontId="3" type="noConversion"/>
  </si>
  <si>
    <t>是否资源</t>
    <phoneticPr fontId="3" type="noConversion"/>
  </si>
  <si>
    <t>已承诺数量</t>
    <phoneticPr fontId="3" type="noConversion"/>
  </si>
  <si>
    <t>未发料数量</t>
    <phoneticPr fontId="3" type="noConversion"/>
  </si>
  <si>
    <t>工单缺料数量</t>
    <phoneticPr fontId="3" type="noConversion"/>
  </si>
  <si>
    <t>说明</t>
    <phoneticPr fontId="3" type="noConversion"/>
  </si>
  <si>
    <t>基础查询、高级查询、字段自定义升降序、自定义字段布局保存</t>
    <phoneticPr fontId="3" type="noConversion"/>
  </si>
  <si>
    <t>计算子库存净值名称 下级配置表</t>
    <phoneticPr fontId="3" type="noConversion"/>
  </si>
  <si>
    <t>工单齐套明细表</t>
    <phoneticPr fontId="3" type="noConversion"/>
  </si>
  <si>
    <t>工单齐套-物料详细</t>
    <phoneticPr fontId="3" type="noConversion"/>
  </si>
  <si>
    <t>采购订单号</t>
    <phoneticPr fontId="3" type="noConversion"/>
  </si>
  <si>
    <t>订单头状态</t>
    <phoneticPr fontId="3" type="noConversion"/>
  </si>
  <si>
    <t>业务实体</t>
    <phoneticPr fontId="3" type="noConversion"/>
  </si>
  <si>
    <t>供应商名称</t>
    <phoneticPr fontId="3" type="noConversion"/>
  </si>
  <si>
    <t>回货类型</t>
  </si>
  <si>
    <t>回货类型</t>
    <phoneticPr fontId="3" type="noConversion"/>
  </si>
  <si>
    <t>创建日期</t>
    <phoneticPr fontId="3" type="noConversion"/>
  </si>
  <si>
    <t>采购员</t>
  </si>
  <si>
    <t>采购员</t>
    <phoneticPr fontId="3" type="noConversion"/>
  </si>
  <si>
    <t>订单行号</t>
    <phoneticPr fontId="3" type="noConversion"/>
  </si>
  <si>
    <t>分配行号</t>
    <phoneticPr fontId="3" type="noConversion"/>
  </si>
  <si>
    <t>订购数量</t>
    <phoneticPr fontId="3" type="noConversion"/>
  </si>
  <si>
    <t>承诺数量</t>
    <phoneticPr fontId="3" type="noConversion"/>
  </si>
  <si>
    <t>承诺日期</t>
  </si>
  <si>
    <t>承诺日期</t>
    <phoneticPr fontId="3" type="noConversion"/>
  </si>
  <si>
    <t>首次承诺日期</t>
    <phoneticPr fontId="3" type="noConversion"/>
  </si>
  <si>
    <t>需求日期</t>
  </si>
  <si>
    <t>需求日期</t>
    <phoneticPr fontId="3" type="noConversion"/>
  </si>
  <si>
    <t>备注</t>
    <phoneticPr fontId="3" type="noConversion"/>
  </si>
  <si>
    <t>采购申请号</t>
    <phoneticPr fontId="3" type="noConversion"/>
  </si>
  <si>
    <t>描述</t>
    <phoneticPr fontId="3" type="noConversion"/>
  </si>
  <si>
    <t>根据"料号"，取物料主数据"品牌BRAND"</t>
    <phoneticPr fontId="3" type="noConversion"/>
  </si>
  <si>
    <t>根据"料号"，取EBS物料主数据"物料状态 ITEM_STATUS "</t>
    <phoneticPr fontId="3" type="noConversion"/>
  </si>
  <si>
    <t>根据"料号"，取EBS物料主数据"L/T   FIXED_DAYS_SUPPLY"</t>
    <phoneticPr fontId="3" type="noConversion"/>
  </si>
  <si>
    <t>根据"料号"，取物料主数据"说明 DESCRIPTION"</t>
    <phoneticPr fontId="3" type="noConversion"/>
  </si>
  <si>
    <t>可用数量</t>
    <phoneticPr fontId="3" type="noConversion"/>
  </si>
  <si>
    <t>客户预留数量</t>
    <phoneticPr fontId="3" type="noConversion"/>
  </si>
  <si>
    <t>现存数量</t>
    <phoneticPr fontId="3" type="noConversion"/>
  </si>
  <si>
    <t>工单可用数量</t>
    <phoneticPr fontId="3" type="noConversion"/>
  </si>
  <si>
    <t>保留数量</t>
    <phoneticPr fontId="3" type="noConversion"/>
  </si>
  <si>
    <t>单据保留数量</t>
    <phoneticPr fontId="3" type="noConversion"/>
  </si>
  <si>
    <t>是否资源</t>
    <phoneticPr fontId="3" type="noConversion"/>
  </si>
  <si>
    <t>N/A</t>
    <phoneticPr fontId="3" type="noConversion"/>
  </si>
  <si>
    <t>读EBS数据</t>
    <phoneticPr fontId="3" type="noConversion"/>
  </si>
  <si>
    <t>item</t>
    <phoneticPr fontId="3" type="noConversion"/>
  </si>
  <si>
    <t>head</t>
    <phoneticPr fontId="3" type="noConversion"/>
  </si>
  <si>
    <t>品牌</t>
  </si>
  <si>
    <t>品牌</t>
    <phoneticPr fontId="3" type="noConversion"/>
  </si>
  <si>
    <t>状态</t>
    <phoneticPr fontId="3" type="noConversion"/>
  </si>
  <si>
    <t>L/T</t>
    <phoneticPr fontId="3" type="noConversion"/>
  </si>
  <si>
    <t>组织</t>
    <phoneticPr fontId="3" type="noConversion"/>
  </si>
  <si>
    <t>料号</t>
    <phoneticPr fontId="3" type="noConversion"/>
  </si>
  <si>
    <t>说明</t>
    <phoneticPr fontId="3" type="noConversion"/>
  </si>
  <si>
    <t>工单号</t>
    <phoneticPr fontId="3" type="noConversion"/>
  </si>
  <si>
    <t>供给明细</t>
    <phoneticPr fontId="3" type="noConversion"/>
  </si>
  <si>
    <t>工单齐套明细</t>
    <phoneticPr fontId="3" type="noConversion"/>
  </si>
  <si>
    <t>齐套规则计算配置表</t>
    <phoneticPr fontId="3" type="noConversion"/>
  </si>
  <si>
    <t>替代料明细</t>
    <phoneticPr fontId="3" type="noConversion"/>
  </si>
  <si>
    <t>组件责任方配置</t>
    <phoneticPr fontId="3" type="noConversion"/>
  </si>
  <si>
    <t>PR信息表</t>
    <phoneticPr fontId="3" type="noConversion"/>
  </si>
  <si>
    <t>SRM采购订单交期报表</t>
    <phoneticPr fontId="3" type="noConversion"/>
  </si>
  <si>
    <t>WO工单信息表</t>
    <phoneticPr fontId="3" type="noConversion"/>
  </si>
  <si>
    <t>编辑人</t>
  </si>
  <si>
    <t>编辑日期</t>
  </si>
  <si>
    <t>根据登录账户user，编辑人自动赋值</t>
  </si>
  <si>
    <t>根据编辑时间自动赋值</t>
  </si>
  <si>
    <t>根据"子库存净值名称" AND “仓位编码”，取EBS"净数"，首次维护时，读取EBS的"净数"，后续在进行编辑和编辑时，不在读取。表头列字段，支持一键全选，取消全选</t>
  </si>
  <si>
    <t>关联工单</t>
    <phoneticPr fontId="4" type="noConversion"/>
  </si>
  <si>
    <t>表格</t>
    <phoneticPr fontId="3" type="noConversion"/>
  </si>
  <si>
    <t>弹窗</t>
    <phoneticPr fontId="3" type="noConversion"/>
  </si>
  <si>
    <t>根据"物料编码"&amp;"组织" 反查</t>
    <phoneticPr fontId="3" type="noConversion"/>
  </si>
  <si>
    <t>根据"采购订单号"反查，SRM提供表数据</t>
    <phoneticPr fontId="3" type="noConversion"/>
  </si>
  <si>
    <t>数据来源</t>
    <phoneticPr fontId="3" type="noConversion"/>
  </si>
  <si>
    <t>DOP存表</t>
    <phoneticPr fontId="3" type="noConversion"/>
  </si>
  <si>
    <t>EBS</t>
    <phoneticPr fontId="3" type="noConversion"/>
  </si>
  <si>
    <t>SRM</t>
    <phoneticPr fontId="3" type="noConversion"/>
  </si>
  <si>
    <t>替代项</t>
    <phoneticPr fontId="3" type="noConversion"/>
  </si>
  <si>
    <t>版本</t>
    <phoneticPr fontId="3" type="noConversion"/>
  </si>
  <si>
    <t>根据"组件料号"赋值</t>
    <phoneticPr fontId="3" type="noConversion"/>
  </si>
  <si>
    <t>组件物料</t>
    <phoneticPr fontId="3" type="noConversion"/>
  </si>
  <si>
    <t>按"组织"&amp;“料号”&amp;"组件料号"到EBS查相应BOM，取EBS ALTERNATE_BOM_DESIGNATOR_MIR，该字段业务提供选择，默认选择"Alternate"。获取EBS的数据，当选择数据后，ITEM数据根据选择后的数据更新到相关的替代料配置数据</t>
    <phoneticPr fontId="3" type="noConversion"/>
  </si>
  <si>
    <t>按"组织"&amp;“料号”&amp;"组件料号"到EBS查相应BOM，取EBS REVISION_MIR，该字段业务提供选择，默认选择"0"。获取EBS的数据，当选择数据后，ITEM数据根据选择后的数据更新到相关的替代料配置数据</t>
    <phoneticPr fontId="3" type="noConversion"/>
  </si>
  <si>
    <t>产品线</t>
    <phoneticPr fontId="3" type="noConversion"/>
  </si>
  <si>
    <t>批次</t>
    <phoneticPr fontId="3" type="noConversion"/>
  </si>
  <si>
    <t>根据"料号"&amp;"组织"取EBS库存数据</t>
    <phoneticPr fontId="3" type="noConversion"/>
  </si>
  <si>
    <t>读SRM数据</t>
    <phoneticPr fontId="3" type="noConversion"/>
  </si>
  <si>
    <t>申请人</t>
  </si>
  <si>
    <t>申请单号</t>
  </si>
  <si>
    <t>申请数量</t>
  </si>
  <si>
    <t>目标子库存</t>
  </si>
  <si>
    <t>地点</t>
  </si>
  <si>
    <t>采购组织</t>
  </si>
  <si>
    <t>采购编号</t>
  </si>
  <si>
    <t>采购PO数量</t>
  </si>
  <si>
    <t>已交货数量</t>
  </si>
  <si>
    <t>未交货数量</t>
  </si>
  <si>
    <t>供应商</t>
  </si>
  <si>
    <t>LT</t>
    <phoneticPr fontId="4" type="noConversion"/>
  </si>
  <si>
    <t>LT</t>
    <phoneticPr fontId="3" type="noConversion"/>
  </si>
  <si>
    <t>LT</t>
    <phoneticPr fontId="3" type="noConversion"/>
  </si>
  <si>
    <t>物料</t>
    <phoneticPr fontId="3" type="noConversion"/>
  </si>
  <si>
    <t>根据"申请单号"赋值</t>
    <phoneticPr fontId="3" type="noConversion"/>
  </si>
  <si>
    <t>根据"料号"赋值</t>
    <phoneticPr fontId="3" type="noConversion"/>
  </si>
  <si>
    <t>根据"料号"到EBS，反查关联的"申请单号"</t>
    <phoneticPr fontId="3" type="noConversion"/>
  </si>
  <si>
    <t>Y</t>
    <phoneticPr fontId="3" type="noConversion"/>
  </si>
  <si>
    <t>系统</t>
    <phoneticPr fontId="3" type="noConversion"/>
  </si>
  <si>
    <t>DOP</t>
    <phoneticPr fontId="3" type="noConversion"/>
  </si>
  <si>
    <t>OMS</t>
    <phoneticPr fontId="3" type="noConversion"/>
  </si>
  <si>
    <t>开发负责人</t>
    <phoneticPr fontId="3" type="noConversion"/>
  </si>
  <si>
    <t>万文豪</t>
    <phoneticPr fontId="3" type="noConversion"/>
  </si>
  <si>
    <t>陆勇君</t>
    <phoneticPr fontId="3" type="noConversion"/>
  </si>
  <si>
    <t>万文豪,严居兆</t>
    <phoneticPr fontId="3" type="noConversion"/>
  </si>
  <si>
    <t>万文豪,邱海</t>
    <phoneticPr fontId="3" type="noConversion"/>
  </si>
  <si>
    <t>C1</t>
  </si>
  <si>
    <t>C2</t>
  </si>
  <si>
    <t>M1</t>
  </si>
  <si>
    <t>M2</t>
  </si>
  <si>
    <t>M3</t>
  </si>
  <si>
    <t>在C1屏幕，进行"组织"配置时的"抽屉"弹窗</t>
  </si>
  <si>
    <t>在C1屏幕，进行"供应商"配置时的"抽屉"弹窗</t>
  </si>
  <si>
    <t>按"配置编码"&amp;"组件物料"&amp;"组织"，取"C1 工单齐套明细" 的"配置库存数量"，IF"组件物料-是否资源"=Y，按照按"配置编码"&amp;"组件物料"&amp;"组织"&amp;"产品线"取值</t>
  </si>
  <si>
    <t>按"配置编码"&amp;"组件物料"&amp;"组织"，取"C1 工单齐套明细" 的"现存数量"，IF"组件物料-是否资源"=Y，按照按"配置编码"&amp;"组件物料"&amp;"组织"&amp;"产品线"取值</t>
  </si>
  <si>
    <t>配置表"C3 组件责任方配置"，通过"零部件类别"，取对应"组件分类"</t>
  </si>
  <si>
    <t>配置表"C3 组件责任方配置"，通过"零部件类别"，取对应"组件分类-组件责任方"</t>
  </si>
  <si>
    <t>根据所选行的"工单号"带出，select "M1 工单齐套明细"数据</t>
  </si>
  <si>
    <t>根据所选行的"工单号"带出，select "M1 工单齐套明细"数据，与M1 工单齐套明细一样，支持跳转到供给清单</t>
  </si>
  <si>
    <t>与M1 工单齐套明细一样，支持跳转到供给清单</t>
  </si>
  <si>
    <t>根据"M1 工单齐套明细"的数据</t>
  </si>
  <si>
    <t>取"M1 工单齐套明细"清单，根据"组件物料"，反找所属"工单号"的"组织"，若对应多个组织有同一料号，则按照组织分行</t>
  </si>
  <si>
    <t>根据"M1 工单齐套明细"清单，按"配置编码"&amp;"组件物料"&amp;"组织"，去重，IF"组件物料-是否资源"=Y，按照按"配置编码"&amp;"组件物料"&amp;"组织"&amp;"产品线"，去重</t>
  </si>
  <si>
    <t>根据"M1 工单齐套明细"清单，按"配置编码"&amp;"组件物料"&amp;"组织"&amp;"产品线"，获取EBS"固定供应天数 FIXED_DAYS_SUPPLY_MIR'</t>
  </si>
  <si>
    <t>根据"M1 工单齐套明细"清单，按"配置编码"&amp;"组件物料"&amp;"组织"，通过组件料号，取EBS“NCITEM_EXTEND_V-ITEM_WLLB”</t>
  </si>
  <si>
    <t>按"配置编码"&amp;"组件物料"&amp;"组织"&amp;"产品线"，到表"M1 工单齐套明细"取"理论可用库存"，最小值，IF"组件物料-是否资源"=Y，按照按"配置编码"&amp;"组件物料"&amp;"组织"&amp;"产品线"，去重</t>
  </si>
  <si>
    <t>按"配置编码"&amp;"组件物料"&amp;"组织"&amp;"产品线"，到表"M1 工单齐套明细"取"理论可用库存(含PO&amp;工单)"</t>
  </si>
  <si>
    <t>按"配置编码"&amp;"组件物料"&amp;"组织"&amp;"产品线"，到表"M1 工单齐套明细"取"理论可用库存(含PO&amp;工单)"，取最小值</t>
  </si>
  <si>
    <t xml:space="preserve">按"配置编码"&amp;"组件物料"&amp;"组织"&amp;"产品线"，select "M1 工单齐套明细"，取满足以下条件的数据进行汇总，赋值到该栏位
     工单缺料数量 不会大于0,"未发料数量"不会为负数。
     IF "工单缺料数量"= 0  AND "未发料数量" != 0   (齐套运算时，所在行的组件，配置库存可以满足，工单缺料数量=0，并且未发料数量不等于0，代表工单没有进行投料完成，可以进行库存承诺，此时该行的承诺数量就会等于未发料数量) 
    sum "未发料数量"
    ELSE IF "工单缺料数量"＜0，AND  丨"工单缺料数量"丨(绝对值)  != "未发料数量"(工单缺料数量小于零，且绝对值状态下不等于未发料数量，相当于该行，当前有部分库存满足了该行，)
    = "工单缺料数量"+"未发料数量"，
    ELSE IF "工单缺料数量" ＜0，不考虑相关行，其他满足条件的数据按照以上条件汇总计算后，赋值到该栏位
</t>
  </si>
  <si>
    <t>根据"M1 工单齐套明细"清单，按"配置编码"&amp;"组件物料"&amp;"组织"，通过组件料号，取EBS 的"现存数量"LIMIT_ONHAND_QUANTITY字段</t>
  </si>
  <si>
    <t>根据"工单号"&amp;"配置编码"，到"M1 工单齐套明细"反查</t>
  </si>
  <si>
    <t>根据"工单号"&amp;"配置编码"&amp;"组件编码"，到"M1 工单齐套明细"反查</t>
  </si>
  <si>
    <t>在屏幕M1工单齐套明细，所选的组织，赋值</t>
  </si>
  <si>
    <t>在屏幕M1工单齐套明细，点击所选行项的"料号"赋值</t>
  </si>
  <si>
    <t>在屏幕M1工单齐套明细，点击所选行项的"组件物料"赋值</t>
  </si>
  <si>
    <t>在屏幕M1工单齐套明细，通过点击"替代料及库存"右侧抽屉弹窗，根据选择行项的"组织"&amp;“料号”&amp;"组件料号"到EBS查相应BOM，反查出行项"组件编码"&amp;"替代项"&amp;“版本” 关联的替代料"料号"</t>
  </si>
  <si>
    <t>在M2屏幕，点击""的"抽屉"弹窗</t>
  </si>
  <si>
    <t>通过在屏幕M2 工单齐套-工单详情，点击物料编码，跳转到该屏幕，根据所选行的"工单号"带出</t>
  </si>
  <si>
    <t>根据所选"组件物料"&amp;"配置编码"&amp;"组织"&amp;"产品线"，到表"M1 工单齐套明细"反查出关联的工单号，按工单分行项陈列数据。
点击该字段跳转屏幕到"M2 工单齐套 工单详情"，按所选工单默认查询对应数据</t>
  </si>
  <si>
    <t>点击该字段跳转屏幕到"M2 工单齐套 工单详情"，按所选工单默认查询对应数据</t>
  </si>
  <si>
    <t>提供两个链接地址，文本描述  "工单详情"，"物料详情"，
点击"工单详情"，跳转到屏幕"M2 工单齐套 工单详情"内，根据点击行的"工单号"，默认做入参的查询条件过滤。
点击"物料详细"，跳转到屏幕“M3 工单齐套 工单详情”内，根据所点击行的"组件编码"默认做入参的查询条件过滤。</t>
  </si>
  <si>
    <t>根据所选行的"工单号"带出，select "M1 工单齐套明细"数据，增加点击页面跳转，点击后可跳转到"M3 工单齐套-物料详情"屏幕，按照点击料号默认筛选</t>
  </si>
  <si>
    <t>点击页面跳转，点击后可跳转到"M3 工单齐套-物料详情"屏幕，按照点击料号默认筛选</t>
  </si>
  <si>
    <t>通过点击屏幕"M3 工单齐套 物料详情"，所选"组件编码"带出该字段</t>
  </si>
  <si>
    <t>通过点击屏幕"M3 工单齐套 物料详情"抽屉弹窗，出该屏幕，根据所选组件料号呈现数据</t>
  </si>
  <si>
    <t>默认查询SRM 采购订单交期报表数据，当用户通过M1或M3界面跳转到该屏幕时，按照所选行项目料号&amp;组织，筛选出对应的采购订单那交期报表数据</t>
  </si>
  <si>
    <t>根据"采购订单号"反查，SRM提供表数据，点击跳转到T2 PR信息表，根据点击的PR号，反查T2内的PR数据</t>
  </si>
  <si>
    <t>读SRM数据，点击跳转到屏幕T2，PR信息表</t>
  </si>
  <si>
    <t>通过"料号"&amp;"组件编码"&amp;"组织" 到EBS内查询标准BOM，取对应行项目维护的替代物料"料号"，按照"料号"到EBS内查库存，点击后抽屉弹窗，T3 替代料明细 屏幕</t>
  </si>
  <si>
    <t>工单齐套_工单详情</t>
  </si>
  <si>
    <t>工单齐套_物料详情</t>
  </si>
  <si>
    <t>配置表_齐套规则计算配置表</t>
  </si>
  <si>
    <t>配置表_组件责任方</t>
  </si>
  <si>
    <t>工单齐套_工单详细_工单组件信息</t>
  </si>
  <si>
    <t>工单齐套_物料详情_物料关联工单信息</t>
  </si>
  <si>
    <t>工单齐套_物料详细</t>
  </si>
  <si>
    <t>齐套规则计算配置表_分类码配置屏幕</t>
  </si>
  <si>
    <t>齐套规则计算配置表_工单状态配置屏幕</t>
  </si>
  <si>
    <t>齐套规则计算配置表_供给仓位配置</t>
  </si>
  <si>
    <t>齐套规则计算配置表_供给仓位配置_仓位选择</t>
  </si>
  <si>
    <t>齐套规则计算配置表_供应商配置屏幕</t>
  </si>
  <si>
    <t>齐套规则计算配置表_组织配置屏幕</t>
  </si>
  <si>
    <t>_</t>
  </si>
  <si>
    <t>TXT_1</t>
  </si>
  <si>
    <t>true_有效，false_无效</t>
  </si>
  <si>
    <t>基础查询、高级查询、字段自定义升降序、自定义字段布局保存</t>
    <phoneticPr fontId="3" type="noConversion"/>
  </si>
  <si>
    <t>在C1屏幕，进行"分类码"配置时的"抽屉"弹窗</t>
    <phoneticPr fontId="3" type="noConversion"/>
  </si>
  <si>
    <t>在C1屏幕，进行"供给仓位"配置时的"抽屉"弹窗</t>
    <phoneticPr fontId="3" type="noConversion"/>
  </si>
  <si>
    <t>在C1屏幕，进行"工单状态"配置时的"抽屉"弹窗</t>
    <phoneticPr fontId="3" type="noConversion"/>
  </si>
  <si>
    <t>TXT_MULTI</t>
  </si>
  <si>
    <t>TXT_2</t>
    <phoneticPr fontId="3" type="noConversion"/>
  </si>
  <si>
    <t>SEL_1</t>
    <phoneticPr fontId="3" type="noConversion"/>
  </si>
  <si>
    <t>SEL_2</t>
    <phoneticPr fontId="3" type="noConversion"/>
  </si>
  <si>
    <t>TXT_SINGLE</t>
    <phoneticPr fontId="3" type="noConversion"/>
  </si>
  <si>
    <t>SEL_SINGLE</t>
    <phoneticPr fontId="3" type="noConversion"/>
  </si>
  <si>
    <t>SEL_MULTI</t>
    <phoneticPr fontId="3" type="noConversion"/>
  </si>
  <si>
    <t>C1_1</t>
    <phoneticPr fontId="3" type="noConversion"/>
  </si>
  <si>
    <t>C1_2</t>
    <phoneticPr fontId="3" type="noConversion"/>
  </si>
  <si>
    <t>C1_3</t>
    <phoneticPr fontId="3" type="noConversion"/>
  </si>
  <si>
    <t>C1_4</t>
    <phoneticPr fontId="3" type="noConversion"/>
  </si>
  <si>
    <t>C1_5</t>
    <phoneticPr fontId="3" type="noConversion"/>
  </si>
  <si>
    <t>M2_1</t>
    <phoneticPr fontId="3" type="noConversion"/>
  </si>
  <si>
    <t>M3_1</t>
    <phoneticPr fontId="3" type="noConversion"/>
  </si>
  <si>
    <t>M1_1</t>
    <phoneticPr fontId="3" type="noConversion"/>
  </si>
  <si>
    <t>该字段需要优先配置并保存，未配置该字段情况下，不允许配置其它配置参数
按屏幕“C1_1”，勾选的组织显示数据，若多组织，按照英文逗号分隔</t>
  </si>
  <si>
    <t>根据所选行的"工单号"带出，select "M1 工单齐套明细"数据，点击页面跳转，点击后可跳转到"C1_1 替代料明细"屏幕，按照点击料号默认筛选</t>
  </si>
  <si>
    <t>点击页面跳转，点击后可跳转到"C1_1 替代料明细"屏幕，按照点击料号默认筛选</t>
  </si>
  <si>
    <t>配置值，按屏幕"C1_2"，勾选的"分类码"呈现
创建时，按照配置"组织"，到EBS取相应"组织"的"分类码"
编辑时，按照已保存的数据进行编辑新增</t>
  </si>
  <si>
    <t>在C1_3屏幕，进行"EBS供给仓位配置"时，弹窗</t>
  </si>
  <si>
    <t>配置值，按屏幕"C1_3"，选择的屏幕呈现字段，该字段可点击"配置"
创建时，根据"组织"，到EBS取表"MRP_SCHEDULE_DESIGNATORS"，字段"SCHEDULE_DESIGNATOR"相应"组织"所有数据。
编辑时，按照已保存的数据进行编辑新增</t>
  </si>
  <si>
    <t>配置值，按屏幕"C1_3"，选择的屏幕呈现字段
取EBS表"MRP_SCHEDULE_DESIGNATORS"，字段"DESCRIPTION_MIR"</t>
  </si>
  <si>
    <t>点击弹出，弹窗C1_3-1</t>
  </si>
  <si>
    <t>根据在屏幕"C1_3"选择行的字库存净值，带出</t>
  </si>
  <si>
    <t>取屏幕"C1_4"数据，可点击"配置"
当创建时，按照"组织"到，EBS取表"AP_SUPPLIERS"，字段"VENDOR_TYPE_LOOKUP_CODE"=委外供应商的，字段"SEGMENT1"。
编辑时，按照已保存的数据进行编辑新增</t>
  </si>
  <si>
    <t>取屏幕"C1_4"数据
根据"供应商编码SEGMENT1"字段到表"AP_SUPPLIERS"取"VENDOR_NAME"，</t>
  </si>
  <si>
    <t xml:space="preserve">取屏幕"C1_5"屏幕配置数据
</t>
  </si>
  <si>
    <t>遍历"工单齐套明细"表，select "组件编码" 行数，计分母。
    Select "工单缺料数量" 
        计，IF "工单缺料数量" ＜0 ，行数。计分子。
该字段提供接口，点击后，页面右侧弹出窗口"M2_1 工单齐套-工单详细-工单组件信息"页面</t>
  </si>
  <si>
    <t>该字段提供接口，点击后，页面右侧弹出窗口"M2_1 工单齐套-工单详细-工单组件信息"页面</t>
  </si>
  <si>
    <t>点击该字段，按照所选行的"组件编码"&amp;"组织"反查，M1 工单齐套明细，跳转到"M3_1 工单齐套-物料详情-物料关联工单信息"，默认显示该物料关联的工单个数</t>
  </si>
  <si>
    <t>点击抽屉弹窗，M3_1屏幕</t>
  </si>
  <si>
    <t>点击分别跳转到T2,T1,M1_1</t>
  </si>
  <si>
    <t>DOP-&gt;EBS PO信息查询接口</t>
  </si>
  <si>
    <t>DOP-&gt;EBS PR信息查询接口</t>
  </si>
  <si>
    <t>DOP-&gt;EBS 供应商信息查询接口</t>
  </si>
  <si>
    <t>DOP-&gt;EBS 计算子库存净值仓位信息查询接口</t>
  </si>
  <si>
    <t>DOP-&gt;EBS 库存查询接口</t>
  </si>
  <si>
    <t>DOP-&gt;EBS 物料主数据查询接口</t>
  </si>
  <si>
    <t>DOP-&gt;EBS 组织查询接口</t>
  </si>
  <si>
    <t>DOP-&gt;OMS 订单 头 信息查询接口</t>
  </si>
  <si>
    <t>DOP-&gt;OMS 订单 行 信息查询接口</t>
  </si>
  <si>
    <t>DOP-&gt;OMS 工单 头 查询接口</t>
  </si>
  <si>
    <t>DOP-&gt;OMS 工单 行 查询接口</t>
  </si>
  <si>
    <t>DOP-&gt;SRM 订单交期报表</t>
  </si>
  <si>
    <t>字符类型</t>
  </si>
  <si>
    <t>字段逻辑</t>
  </si>
  <si>
    <t>基础查询</t>
  </si>
  <si>
    <t>高级查询</t>
  </si>
  <si>
    <t>查询方式</t>
  </si>
  <si>
    <t>是否可编辑</t>
  </si>
  <si>
    <t>通过"工单号"获取</t>
  </si>
  <si>
    <t>Y</t>
  </si>
  <si>
    <t>查询时必填</t>
  </si>
  <si>
    <t>通过"工单号"获取，取OMS的工单头表，通过工单号，关联订单号</t>
  </si>
  <si>
    <t>通过"订单编号"获取</t>
  </si>
  <si>
    <t>订单创建人</t>
  </si>
  <si>
    <t>产品线</t>
  </si>
  <si>
    <t>到EBS获取物料主数据信息，通过"工单号-料号"获取</t>
  </si>
  <si>
    <t>通过接口，取EBS工单信息，按组织&amp;"工单状态" = "已发放" AND "未发放"的单据</t>
  </si>
  <si>
    <t>　KEY</t>
  </si>
  <si>
    <t>在"工单优先级维护"表内通过"工单号"获取</t>
  </si>
  <si>
    <t>INT</t>
  </si>
  <si>
    <t>默认近30天</t>
  </si>
  <si>
    <t>获取 工单号-起始(MRP)日期M_SCHEDULED_START_DATE</t>
  </si>
  <si>
    <t>人工维护</t>
  </si>
  <si>
    <t>orgName</t>
    <phoneticPr fontId="3" type="noConversion"/>
  </si>
  <si>
    <t>orderNo</t>
    <phoneticPr fontId="3" type="noConversion"/>
  </si>
  <si>
    <t>TXT_1</t>
    <phoneticPr fontId="3" type="noConversion"/>
  </si>
  <si>
    <t>orderCreateDate</t>
    <phoneticPr fontId="3" type="noConversion"/>
  </si>
  <si>
    <t>orderCreator</t>
    <phoneticPr fontId="3" type="noConversion"/>
  </si>
  <si>
    <t>orderType</t>
    <phoneticPr fontId="3" type="noConversion"/>
  </si>
  <si>
    <t>dieStackQty</t>
    <phoneticPr fontId="3" type="noConversion"/>
  </si>
  <si>
    <t>productCategory</t>
    <phoneticPr fontId="3" type="noConversion"/>
  </si>
  <si>
    <t>capacity</t>
    <phoneticPr fontId="3" type="noConversion"/>
  </si>
  <si>
    <t>productPn</t>
    <phoneticPr fontId="3" type="noConversion"/>
  </si>
  <si>
    <t>orderQty</t>
    <phoneticPr fontId="3" type="noConversion"/>
  </si>
  <si>
    <t>requiredCompletionDate</t>
    <phoneticPr fontId="3" type="noConversion"/>
  </si>
  <si>
    <t>workOrderCategory</t>
    <phoneticPr fontId="3" type="noConversion"/>
  </si>
  <si>
    <t>workOrderStatus</t>
    <phoneticPr fontId="3" type="noConversion"/>
  </si>
  <si>
    <t>workOrderNo</t>
    <phoneticPr fontId="3" type="noConversion"/>
  </si>
  <si>
    <t>workOrderPriority</t>
    <phoneticPr fontId="3" type="noConversion"/>
  </si>
  <si>
    <t>transferBy</t>
    <phoneticPr fontId="3" type="noConversion"/>
  </si>
  <si>
    <t>transferTime</t>
    <phoneticPr fontId="3" type="noConversion"/>
  </si>
  <si>
    <t>transferQty</t>
    <phoneticPr fontId="3" type="noConversion"/>
  </si>
  <si>
    <t>completedQty</t>
    <phoneticPr fontId="3" type="noConversion"/>
  </si>
  <si>
    <t>scrapQty</t>
    <phoneticPr fontId="3" type="noConversion"/>
  </si>
  <si>
    <t>incompleteQty</t>
    <phoneticPr fontId="3" type="noConversion"/>
  </si>
  <si>
    <t>supplierCode</t>
    <phoneticPr fontId="3" type="noConversion"/>
  </si>
  <si>
    <t>supplierDesc</t>
    <phoneticPr fontId="3" type="noConversion"/>
  </si>
  <si>
    <t>_</t>
    <phoneticPr fontId="3" type="noConversion"/>
  </si>
  <si>
    <t>requiredMaterialDate</t>
    <phoneticPr fontId="3" type="noConversion"/>
  </si>
  <si>
    <t>根据在屏幕M1和M3选择的组件物料，通过"组件物料"&amp;"组织"赋值，在不通过其他屏幕跳转到该屏时候，默认查询EBS的PR数据</t>
    <phoneticPr fontId="3" type="noConversion"/>
  </si>
  <si>
    <t>Y</t>
    <phoneticPr fontId="3" type="noConversion"/>
  </si>
  <si>
    <t>TXT_1</t>
    <phoneticPr fontId="3" type="noConversion"/>
  </si>
  <si>
    <t>TXT_2</t>
    <phoneticPr fontId="3" type="noConversion"/>
  </si>
  <si>
    <t>SEL_2</t>
    <phoneticPr fontId="3" type="noConversion"/>
  </si>
  <si>
    <t>NUM</t>
    <phoneticPr fontId="3" type="noConversion"/>
  </si>
  <si>
    <t>DATA</t>
    <phoneticPr fontId="3" type="noConversion"/>
  </si>
  <si>
    <t>-</t>
    <phoneticPr fontId="3" type="noConversion"/>
  </si>
  <si>
    <t>N</t>
    <phoneticPr fontId="3" type="noConversion"/>
  </si>
  <si>
    <t>是否可编辑</t>
    <phoneticPr fontId="3" type="noConversion"/>
  </si>
  <si>
    <t>通过屏幕“M1 工单齐套明细”选择的"供给明细-WO"跳转到该屏幕
            WO：
                输入 行项"组件编码"&amp;"组织"
                从"工单信息表内"筛选出满足以下条件的记录
                物料编码 = 输入行项目料号
                且 工单状态="已发放"or"未发放"
                取查询到数据的"剩余数量M_QUANTITY_REMAINING"、"起始完成日期M_SCHEDULED_COMPLETION_DATE"</t>
    <phoneticPr fontId="3" type="noConversion"/>
  </si>
  <si>
    <t>在"M1 工单齐套明细 "，点击"替代料"抽屉弹窗</t>
    <phoneticPr fontId="3" type="noConversion"/>
  </si>
  <si>
    <t>VerSion</t>
    <phoneticPr fontId="3" type="noConversion"/>
  </si>
  <si>
    <t>根据配置编码，的运行的次数，自动赋值，叠加，配置编码&amp;版本号，不能重复</t>
    <phoneticPr fontId="3" type="noConversion"/>
  </si>
  <si>
    <t>自动给号</t>
    <phoneticPr fontId="3" type="noConversion"/>
  </si>
  <si>
    <t>按照齐套运行明细的运行次数，存入每次的运行数据，按版本号迭代，通过在M1/M2/M3屏幕，跳转到该屏幕。
通过在该屏幕。点击"配置编码"跳转到对应行项目"版本"的明细数据</t>
    <phoneticPr fontId="3" type="noConversion"/>
  </si>
  <si>
    <t>M1/M2/M3屏幕，点击"配置编码"跳转到当前屏幕
在当前屏幕点击'配置编码"跳转到M1屏幕</t>
    <phoneticPr fontId="3" type="noConversion"/>
  </si>
  <si>
    <t>通过"配置编码"获取</t>
    <phoneticPr fontId="3" type="noConversion"/>
  </si>
  <si>
    <t>齐套版本</t>
    <phoneticPr fontId="3" type="noConversion"/>
  </si>
  <si>
    <t>齐套版本</t>
    <phoneticPr fontId="4" type="noConversion"/>
  </si>
  <si>
    <t>配置编码获取&amp;运行时间</t>
    <phoneticPr fontId="3" type="noConversion"/>
  </si>
  <si>
    <t>齐套版本</t>
    <phoneticPr fontId="3" type="noConversion"/>
  </si>
  <si>
    <t>VerSion</t>
    <phoneticPr fontId="3" type="noConversion"/>
  </si>
  <si>
    <t>INT</t>
    <phoneticPr fontId="3" type="noConversion"/>
  </si>
  <si>
    <t>SEL-2</t>
  </si>
  <si>
    <t>SEL-1</t>
  </si>
  <si>
    <t>TXT-1</t>
  </si>
  <si>
    <t>TXT-2</t>
  </si>
  <si>
    <t>齐套明细运行历史记录表</t>
    <phoneticPr fontId="3" type="noConversion"/>
  </si>
  <si>
    <t>T1</t>
    <phoneticPr fontId="3" type="noConversion"/>
  </si>
  <si>
    <t>T2</t>
    <phoneticPr fontId="3" type="noConversion"/>
  </si>
  <si>
    <t>T3</t>
    <phoneticPr fontId="3" type="noConversion"/>
  </si>
  <si>
    <t>C3</t>
    <phoneticPr fontId="3" type="noConversion"/>
  </si>
  <si>
    <t>H1</t>
    <phoneticPr fontId="3" type="noConversion"/>
  </si>
  <si>
    <t>通过在M1/M3屏幕，点击"供给明细-WO"以右侧抽屉的方式弹窗</t>
    <phoneticPr fontId="3" type="noConversion"/>
  </si>
  <si>
    <t>参考M1 工单齐套明细，"供给明细字段"，提供3个链接，点击后转到，PR/PO/WO，信息表内
        根据当前行"组件编码"，找如下数据：
            PO，跳转到T1屏幕
                输入 行项"组件编码"&amp;"组织"
                从"SRM采购订单交期报表create table srm_po_allocation_lines" 筛选出满足以下条件的记录
                物料编码 = 输入行项目料号
                且 采购订单状态 = 打开
                取查询到数据的"承诺数量"、"promise_date承诺日期"
            WO，跳转到M1_1屏幕，以抽屉方式弹出
                输入 行项"组件编码"&amp;"组织"
                从"工单信息表内"筛选出满足以下条件的记录
                物料编码 = 输入行项目料号
                且 工单状态="已发放"or"未发放"
                取查询到数据的"剩余数量M_QUANTITY_REMAINING"、"起始完成日期M_SCHEDULED_COMPLETION_DATE"
            PR，跳转到T2屏幕
                输入 行项"组件编码"&amp;"组织"
                从"PR信息表" 筛选出满足以下条件的记录
                物料编码 = 输入行项目料号
                且 PR状态 = 打开
                取查询到数据的"下单数量"、"交货日期"</t>
  </si>
  <si>
    <t>供给明细提供3个链接，点击后转到，PR/PO/WO，信息表内
        根据当前行"组件编码"，找如下数据：
            PO，跳转到T1屏幕
                输入 行项"组件编码"&amp;"组织"
                从"SRM采购订单交期报表create table srm_po_allocation_lines" 筛选出满足以下条件的记录
                物料编码 = 输入行项目料号
                且 采购订单状态 = 打开
                取查询到数据的"承诺数量"、"promise_date承诺日期"
            WO，跳转到M1_1屏幕，以抽屉方式弹出
                输入 行项"组件编码"&amp;"组织"
                从"工单信息表内"筛选出满足以下条件的记录
                物料编码 = 输入行项目料号
                且 工单状态="已发放"or"未发放"
                取查询到数据的"剩余数量M_QUANTITY_REMAINING"、"起始完成日期M_SCHEDULED_COMPLETION_DATE"
            PR，跳转到T2屏幕
                输入 行项"组件编码"&amp;"组织"
                从"PR信息表" 筛选出满足以下条件的记录
                物料编码 = 输入行项目料号
                且 PR状态 = 打开
                取查询到数据的"下单数量"、"交货日期"</t>
    <phoneticPr fontId="4" type="noConversion"/>
  </si>
  <si>
    <t>固定右侧</t>
    <phoneticPr fontId="3" type="noConversion"/>
  </si>
  <si>
    <t>固定在表格区域右侧</t>
    <phoneticPr fontId="3" type="noConversion"/>
  </si>
  <si>
    <t>基础查询、字段自定义升降序</t>
    <phoneticPr fontId="3" type="noConversion"/>
  </si>
  <si>
    <t>PR：
      输入 行项"组件编码"&amp;"组织"，点击跳转到T1
       从"PR信息表" 筛选出满足以下条件的记录
       物料编码 = 输入行项目料号
       且 PR状态 = 打开
       取查询到数据的"下单数量"
PO：
    输入 行项"组件编码"&amp;“组织”，点击跳转到T2
    从"SRM采购订单交期报表create table srm_po_allocation_lines" 筛选出满足以下条件的记录
    物料编码 = 输入行项目料号
    且 采购订单状态 = 打开
    取查询到数据的"承诺数量"
WO：
     输入 行项"组件编码" &amp; "组织"，点击跳转到M1_1
     从"工单信息表内"筛选出满足以下条件的记录
     物料编码 = 输入行项目料号
     且 工单状态="已发放"or"未发放"
     取查询到数据的"剩余数量M_QUANTITY_REMAINING" 汇总</t>
    <phoneticPr fontId="3" type="noConversion"/>
  </si>
  <si>
    <t>点击屏幕跳转</t>
    <phoneticPr fontId="3" type="noConversion"/>
  </si>
  <si>
    <t>在运行齐套时，根据"M1 工单齐套明细"数据，将工单去除组件行后，呈现在该表内。取EBS 表"wip_discrete_jobs_v "对应符合配置条件的工单，</t>
    <phoneticPr fontId="3" type="noConversion"/>
  </si>
  <si>
    <t>查询、导出、齐套运行、重置</t>
    <phoneticPr fontId="3" type="noConversion"/>
  </si>
  <si>
    <t>查询、导出、保存、删除、行删除、行编辑、新增行、勾选框、重置</t>
    <phoneticPr fontId="3" type="noConversion"/>
  </si>
  <si>
    <t>查询、导出、重置</t>
    <phoneticPr fontId="3" type="noConversion"/>
  </si>
  <si>
    <t>查询、导出、保存、导入、行项编辑、重置</t>
    <phoneticPr fontId="3" type="noConversion"/>
  </si>
  <si>
    <t>查询、重置</t>
    <phoneticPr fontId="3" type="noConversion"/>
  </si>
  <si>
    <t>SRM PO交期报表</t>
    <phoneticPr fontId="3" type="noConversion"/>
  </si>
  <si>
    <t>工单齐套-工单详细-工单组件信息</t>
    <phoneticPr fontId="3" type="noConversion"/>
  </si>
  <si>
    <t>在"M1 工单齐套明细 "&amp;"M3 工单齐套-物料详细"&amp;"M2_1工单齐套-工单详细-工单组件信息"屏幕，点击"供给明细-PO" 跳转表格</t>
    <phoneticPr fontId="3" type="noConversion"/>
  </si>
  <si>
    <t>在"M1 工单齐套明细 "&amp;"M3 工单齐套-物料详细"&amp;"M2_1工单齐套-工单详细-工单组件信息"屏幕，点击"供给明细-PR" 跳转表格</t>
    <phoneticPr fontId="3" type="noConversion"/>
  </si>
  <si>
    <t>在"M1 工单齐套明细 "&amp;"M3 工单齐套-物料详细"&amp;"M2_1工单齐套-工单详细-工单组件信息"屏幕，点击"供给明细-WO"抽屉弹窗</t>
    <phoneticPr fontId="3" type="noConversion"/>
  </si>
  <si>
    <t xml:space="preserve">C1_3_1 </t>
    <phoneticPr fontId="3" type="noConversion"/>
  </si>
  <si>
    <t>查询、确认、取消、勾选框，全选/反选</t>
    <phoneticPr fontId="3" type="noConversion"/>
  </si>
  <si>
    <t>基础查询、字段自定义升降序、自定义字段布局保存</t>
    <phoneticPr fontId="3" type="noConversion"/>
  </si>
  <si>
    <t>在M1屏幕，可点击"操作-工单详情"，跳转到该屏幕</t>
  </si>
  <si>
    <t>在M1屏幕，可点击"操作-物料详情"，跳转到该屏幕</t>
    <phoneticPr fontId="3" type="noConversion"/>
  </si>
  <si>
    <t>在M3_1屏幕，点击"关联工单"的，抽屉弹窗</t>
    <phoneticPr fontId="3" type="noConversion"/>
  </si>
  <si>
    <t>组件责任人</t>
    <phoneticPr fontId="3" type="noConversion"/>
  </si>
  <si>
    <t>创建时间</t>
    <phoneticPr fontId="3" type="noConversion"/>
  </si>
  <si>
    <t>修改时间</t>
    <phoneticPr fontId="3" type="noConversion"/>
  </si>
  <si>
    <t>修改人</t>
    <phoneticPr fontId="3" type="noConversion"/>
  </si>
  <si>
    <t>组件类别</t>
    <phoneticPr fontId="4" type="noConversion"/>
  </si>
  <si>
    <t>N/A</t>
    <phoneticPr fontId="3" type="noConversion"/>
  </si>
  <si>
    <t>SEL-1</t>
    <phoneticPr fontId="3" type="noConversion"/>
  </si>
  <si>
    <t>取EBS物料主数据的零部件类别，下拉选择，单选</t>
    <phoneticPr fontId="3" type="noConversion"/>
  </si>
  <si>
    <t>人工维护</t>
    <phoneticPr fontId="3" type="noConversion"/>
  </si>
  <si>
    <t>系统自动赋值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</si>
</sst>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i/>
      <sz val="10"/>
      <color theme="1"/>
      <name val="微软雅黑"/>
      <family val="2"/>
      <charset val="134"/>
    </font>
    <font>
      <i/>
      <sz val="10"/>
      <color rgb="FF0000FF"/>
      <name val="微软雅黑"/>
      <family val="2"/>
      <charset val="134"/>
    </font>
    <font>
      <i/>
      <sz val="10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rgb="FF0F1115"/>
      <name val="微软雅黑"/>
      <family val="2"/>
      <charset val="134"/>
    </font>
    <font>
      <b/>
      <sz val="9"/>
      <color rgb="FF0F1115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i/>
      <sz val="9"/>
      <color theme="1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8" fillId="0" borderId="0"/>
  </cellStyleXfs>
  <cellXfs count="94">
    <xf numFmtId="0" fontId="0" fillId="0" borderId="0" xfId="0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/>
    <xf numFmtId="0" fontId="11" fillId="0" borderId="0" xfId="0" applyFont="1"/>
    <xf numFmtId="0" fontId="8" fillId="2" borderId="1" xfId="0" applyFont="1" applyFill="1" applyBorder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/>
    </xf>
    <xf numFmtId="0" fontId="12" fillId="0" borderId="0" xfId="0" applyFont="1"/>
    <xf numFmtId="0" fontId="12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1" xfId="0" applyFont="1" applyBorder="1"/>
    <xf numFmtId="0" fontId="12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4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wrapText="1"/>
    </xf>
    <xf numFmtId="0" fontId="0" fillId="0" borderId="0" xfId="0" applyFont="1" applyAlignment="1">
      <alignment horizontal="left"/>
    </xf>
    <xf numFmtId="0" fontId="12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  <xf numFmtId="0" fontId="15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8" fillId="5" borderId="1" xfId="0" applyFont="1" applyFill="1" applyBorder="1"/>
    <xf numFmtId="0" fontId="16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/>
    </xf>
    <xf numFmtId="0" fontId="12" fillId="0" borderId="0" xfId="0" applyFont="1" applyAlignment="1"/>
    <xf numFmtId="0" fontId="9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/>
    <xf numFmtId="0" fontId="10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7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2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19" fillId="0" borderId="1" xfId="0" applyFont="1" applyBorder="1"/>
    <xf numFmtId="0" fontId="19" fillId="0" borderId="0" xfId="0" applyFont="1"/>
    <xf numFmtId="0" fontId="12" fillId="6" borderId="1" xfId="0" applyFont="1" applyFill="1" applyBorder="1" applyAlignment="1">
      <alignment horizontal="center" vertical="center" wrapText="1"/>
    </xf>
    <xf numFmtId="0" fontId="21" fillId="0" borderId="1" xfId="0" applyFont="1" applyBorder="1"/>
    <xf numFmtId="0" fontId="20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9" fillId="6" borderId="1" xfId="0" applyNumberFormat="1" applyFont="1" applyFill="1" applyBorder="1" applyAlignment="1">
      <alignment horizontal="left" vertical="center" wrapText="1" indent="1"/>
    </xf>
    <xf numFmtId="0" fontId="12" fillId="0" borderId="1" xfId="0" applyNumberFormat="1" applyFont="1" applyBorder="1" applyAlignment="1">
      <alignment horizontal="left" vertical="center" wrapText="1"/>
    </xf>
    <xf numFmtId="0" fontId="12" fillId="2" borderId="1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21" fillId="0" borderId="1" xfId="0" applyFont="1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常规" xfId="0" builtinId="0"/>
    <cellStyle name="常规 2" xfId="2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0</xdr:row>
          <xdr:rowOff>152400</xdr:rowOff>
        </xdr:from>
        <xdr:to>
          <xdr:col>12</xdr:col>
          <xdr:colOff>228600</xdr:colOff>
          <xdr:row>57</xdr:row>
          <xdr:rowOff>15240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358140</xdr:colOff>
          <xdr:row>1</xdr:row>
          <xdr:rowOff>30480</xdr:rowOff>
        </xdr:from>
        <xdr:to>
          <xdr:col>20</xdr:col>
          <xdr:colOff>30480</xdr:colOff>
          <xdr:row>37</xdr:row>
          <xdr:rowOff>129540</xdr:rowOff>
        </xdr:to>
        <xdr:sp macro="" textlink="">
          <xdr:nvSpPr>
            <xdr:cNvPr id="25602" name="Object 2" hidden="1">
              <a:extLst>
                <a:ext uri="{63B3BB69-23CF-44E3-9099-C40C66FF867C}">
                  <a14:compatExt spid="_x0000_s256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206188</xdr:colOff>
      <xdr:row>5</xdr:row>
      <xdr:rowOff>66320</xdr:rowOff>
    </xdr:from>
    <xdr:to>
      <xdr:col>9</xdr:col>
      <xdr:colOff>1093694</xdr:colOff>
      <xdr:row>6</xdr:row>
      <xdr:rowOff>13980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5612" y="1151705"/>
          <a:ext cx="887506" cy="4505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162030</xdr:colOff>
      <xdr:row>3</xdr:row>
      <xdr:rowOff>6272</xdr:rowOff>
    </xdr:from>
    <xdr:to>
      <xdr:col>8</xdr:col>
      <xdr:colOff>472440</xdr:colOff>
      <xdr:row>3</xdr:row>
      <xdr:rowOff>163865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9590" y="509192"/>
          <a:ext cx="310410" cy="1575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6</xdr:row>
      <xdr:rowOff>52754</xdr:rowOff>
    </xdr:from>
    <xdr:to>
      <xdr:col>8</xdr:col>
      <xdr:colOff>527538</xdr:colOff>
      <xdr:row>6</xdr:row>
      <xdr:rowOff>281299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7539" y="1139432"/>
          <a:ext cx="451338" cy="2285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569937</xdr:colOff>
      <xdr:row>61</xdr:row>
      <xdr:rowOff>75400</xdr:rowOff>
    </xdr:from>
    <xdr:to>
      <xdr:col>7</xdr:col>
      <xdr:colOff>1052645</xdr:colOff>
      <xdr:row>62</xdr:row>
      <xdr:rowOff>21912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66972" y="34499871"/>
          <a:ext cx="482708" cy="5202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2967</xdr:rowOff>
    </xdr:from>
    <xdr:to>
      <xdr:col>27</xdr:col>
      <xdr:colOff>154720</xdr:colOff>
      <xdr:row>55</xdr:row>
      <xdr:rowOff>98223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21876"/>
          <a:ext cx="24365131" cy="4944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__.vsdx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__1.vsd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zoomScale="85" zoomScaleNormal="85" workbookViewId="0">
      <selection activeCell="M14" sqref="M14"/>
    </sheetView>
  </sheetViews>
  <sheetFormatPr defaultRowHeight="13.8" x14ac:dyDescent="0.25"/>
  <cols>
    <col min="1" max="1" width="8.21875" style="13" customWidth="1"/>
    <col min="2" max="2" width="8.21875" style="65" customWidth="1"/>
    <col min="3" max="3" width="9.88671875" bestFit="1" customWidth="1"/>
    <col min="4" max="4" width="53" bestFit="1" customWidth="1"/>
    <col min="5" max="5" width="15.21875" bestFit="1" customWidth="1"/>
    <col min="6" max="6" width="13.77734375" customWidth="1"/>
  </cols>
  <sheetData>
    <row r="1" spans="1:6" ht="15.6" x14ac:dyDescent="0.35">
      <c r="A1" s="9" t="s">
        <v>12</v>
      </c>
      <c r="B1" s="9" t="s">
        <v>554</v>
      </c>
      <c r="C1" s="17" t="s">
        <v>61</v>
      </c>
      <c r="D1" s="17" t="s">
        <v>60</v>
      </c>
      <c r="E1" s="17" t="s">
        <v>557</v>
      </c>
      <c r="F1" s="17" t="s">
        <v>16</v>
      </c>
    </row>
    <row r="2" spans="1:6" ht="15.6" x14ac:dyDescent="0.35">
      <c r="A2" s="16">
        <v>1</v>
      </c>
      <c r="B2" s="16" t="s">
        <v>555</v>
      </c>
      <c r="C2" s="11" t="s">
        <v>75</v>
      </c>
      <c r="D2" s="11" t="s">
        <v>605</v>
      </c>
      <c r="E2" s="11" t="s">
        <v>558</v>
      </c>
      <c r="F2" s="73"/>
    </row>
    <row r="3" spans="1:6" ht="15.6" x14ac:dyDescent="0.35">
      <c r="A3" s="16">
        <v>2</v>
      </c>
      <c r="B3" s="16" t="s">
        <v>555</v>
      </c>
      <c r="C3" s="11" t="s">
        <v>75</v>
      </c>
      <c r="D3" s="11" t="s">
        <v>457</v>
      </c>
      <c r="E3" s="11" t="s">
        <v>558</v>
      </c>
      <c r="F3" s="73"/>
    </row>
    <row r="4" spans="1:6" ht="15.6" x14ac:dyDescent="0.35">
      <c r="A4" s="16">
        <v>3</v>
      </c>
      <c r="B4" s="16" t="s">
        <v>555</v>
      </c>
      <c r="C4" s="11" t="s">
        <v>75</v>
      </c>
      <c r="D4" s="11" t="s">
        <v>606</v>
      </c>
      <c r="E4" s="11" t="s">
        <v>558</v>
      </c>
      <c r="F4" s="73"/>
    </row>
    <row r="5" spans="1:6" ht="15.6" x14ac:dyDescent="0.35">
      <c r="A5" s="16">
        <v>4</v>
      </c>
      <c r="B5" s="16" t="s">
        <v>555</v>
      </c>
      <c r="C5" s="11" t="s">
        <v>75</v>
      </c>
      <c r="D5" s="11" t="s">
        <v>76</v>
      </c>
      <c r="E5" s="11" t="s">
        <v>558</v>
      </c>
      <c r="F5" s="73"/>
    </row>
    <row r="6" spans="1:6" ht="15.6" x14ac:dyDescent="0.35">
      <c r="A6" s="16">
        <v>5</v>
      </c>
      <c r="B6" s="16" t="s">
        <v>555</v>
      </c>
      <c r="C6" s="11" t="s">
        <v>75</v>
      </c>
      <c r="D6" s="11" t="s">
        <v>456</v>
      </c>
      <c r="E6" s="11" t="s">
        <v>558</v>
      </c>
      <c r="F6" s="73"/>
    </row>
    <row r="7" spans="1:6" ht="15.6" x14ac:dyDescent="0.35">
      <c r="A7" s="16">
        <v>6</v>
      </c>
      <c r="B7" s="16" t="s">
        <v>555</v>
      </c>
      <c r="C7" s="11" t="s">
        <v>75</v>
      </c>
      <c r="D7" s="11" t="s">
        <v>607</v>
      </c>
      <c r="E7" s="11" t="s">
        <v>558</v>
      </c>
      <c r="F7" s="73"/>
    </row>
    <row r="8" spans="1:6" ht="15.6" x14ac:dyDescent="0.35">
      <c r="A8" s="16">
        <v>7</v>
      </c>
      <c r="B8" s="16" t="s">
        <v>555</v>
      </c>
      <c r="C8" s="11" t="s">
        <v>75</v>
      </c>
      <c r="D8" s="11" t="s">
        <v>608</v>
      </c>
      <c r="E8" s="11" t="s">
        <v>558</v>
      </c>
      <c r="F8" s="73"/>
    </row>
    <row r="9" spans="1:6" ht="15.6" x14ac:dyDescent="0.35">
      <c r="A9" s="16">
        <v>8</v>
      </c>
      <c r="B9" s="16" t="s">
        <v>555</v>
      </c>
      <c r="C9" s="11" t="s">
        <v>75</v>
      </c>
      <c r="D9" s="81" t="s">
        <v>744</v>
      </c>
      <c r="E9" s="11" t="s">
        <v>558</v>
      </c>
      <c r="F9" s="73"/>
    </row>
    <row r="10" spans="1:6" ht="15.6" x14ac:dyDescent="0.35">
      <c r="A10" s="16">
        <v>9</v>
      </c>
      <c r="B10" s="16" t="s">
        <v>556</v>
      </c>
      <c r="C10" s="11" t="s">
        <v>398</v>
      </c>
      <c r="D10" s="11" t="s">
        <v>78</v>
      </c>
      <c r="E10" s="11" t="s">
        <v>559</v>
      </c>
      <c r="F10" s="73"/>
    </row>
    <row r="11" spans="1:6" ht="15.6" x14ac:dyDescent="0.35">
      <c r="A11" s="16">
        <v>10</v>
      </c>
      <c r="B11" s="16" t="s">
        <v>556</v>
      </c>
      <c r="C11" s="11" t="s">
        <v>398</v>
      </c>
      <c r="D11" s="11" t="s">
        <v>77</v>
      </c>
      <c r="E11" s="11" t="s">
        <v>559</v>
      </c>
      <c r="F11" s="73"/>
    </row>
    <row r="12" spans="1:6" ht="15.6" x14ac:dyDescent="0.35">
      <c r="A12" s="16">
        <v>11</v>
      </c>
      <c r="B12" s="16" t="s">
        <v>555</v>
      </c>
      <c r="C12" s="11" t="s">
        <v>73</v>
      </c>
      <c r="D12" s="11" t="s">
        <v>657</v>
      </c>
      <c r="E12" s="11" t="s">
        <v>560</v>
      </c>
      <c r="F12" s="73"/>
    </row>
    <row r="13" spans="1:6" ht="15.6" x14ac:dyDescent="0.35">
      <c r="A13" s="16">
        <v>12</v>
      </c>
      <c r="B13" s="16" t="s">
        <v>555</v>
      </c>
      <c r="C13" s="11" t="s">
        <v>73</v>
      </c>
      <c r="D13" s="11" t="s">
        <v>658</v>
      </c>
      <c r="E13" s="11" t="s">
        <v>560</v>
      </c>
      <c r="F13" s="73"/>
    </row>
    <row r="14" spans="1:6" ht="15.6" x14ac:dyDescent="0.35">
      <c r="A14" s="16">
        <v>13</v>
      </c>
      <c r="B14" s="16" t="s">
        <v>555</v>
      </c>
      <c r="C14" s="11" t="s">
        <v>73</v>
      </c>
      <c r="D14" s="11" t="s">
        <v>659</v>
      </c>
      <c r="E14" s="11" t="s">
        <v>560</v>
      </c>
      <c r="F14" s="73"/>
    </row>
    <row r="15" spans="1:6" ht="15.6" x14ac:dyDescent="0.35">
      <c r="A15" s="16">
        <v>14</v>
      </c>
      <c r="B15" s="16" t="s">
        <v>555</v>
      </c>
      <c r="C15" s="11" t="s">
        <v>73</v>
      </c>
      <c r="D15" s="11" t="s">
        <v>660</v>
      </c>
      <c r="E15" s="11" t="s">
        <v>560</v>
      </c>
      <c r="F15" s="73"/>
    </row>
    <row r="16" spans="1:6" ht="15.6" x14ac:dyDescent="0.35">
      <c r="A16" s="16">
        <v>15</v>
      </c>
      <c r="B16" s="16" t="s">
        <v>555</v>
      </c>
      <c r="C16" s="11" t="s">
        <v>73</v>
      </c>
      <c r="D16" s="11" t="s">
        <v>661</v>
      </c>
      <c r="E16" s="11" t="s">
        <v>560</v>
      </c>
      <c r="F16" s="73"/>
    </row>
    <row r="17" spans="1:6" ht="15.6" x14ac:dyDescent="0.35">
      <c r="A17" s="16">
        <v>16</v>
      </c>
      <c r="B17" s="16" t="s">
        <v>555</v>
      </c>
      <c r="C17" s="11" t="s">
        <v>73</v>
      </c>
      <c r="D17" s="11" t="s">
        <v>662</v>
      </c>
      <c r="E17" s="11" t="s">
        <v>560</v>
      </c>
      <c r="F17" s="73"/>
    </row>
    <row r="18" spans="1:6" ht="15.6" x14ac:dyDescent="0.35">
      <c r="A18" s="16">
        <v>17</v>
      </c>
      <c r="B18" s="16" t="s">
        <v>555</v>
      </c>
      <c r="C18" s="11" t="s">
        <v>73</v>
      </c>
      <c r="D18" s="11" t="s">
        <v>663</v>
      </c>
      <c r="E18" s="11" t="s">
        <v>560</v>
      </c>
      <c r="F18" s="73"/>
    </row>
    <row r="19" spans="1:6" ht="15.6" x14ac:dyDescent="0.35">
      <c r="A19" s="16">
        <v>18</v>
      </c>
      <c r="B19" s="16" t="s">
        <v>555</v>
      </c>
      <c r="C19" s="11" t="s">
        <v>73</v>
      </c>
      <c r="D19" s="11" t="s">
        <v>664</v>
      </c>
      <c r="E19" s="11" t="s">
        <v>558</v>
      </c>
      <c r="F19" s="73"/>
    </row>
    <row r="20" spans="1:6" ht="15.6" x14ac:dyDescent="0.35">
      <c r="A20" s="16">
        <v>19</v>
      </c>
      <c r="B20" s="16" t="s">
        <v>555</v>
      </c>
      <c r="C20" s="11" t="s">
        <v>73</v>
      </c>
      <c r="D20" s="11" t="s">
        <v>665</v>
      </c>
      <c r="E20" s="11" t="s">
        <v>558</v>
      </c>
      <c r="F20" s="73"/>
    </row>
    <row r="21" spans="1:6" ht="15.6" x14ac:dyDescent="0.35">
      <c r="A21" s="16">
        <v>20</v>
      </c>
      <c r="B21" s="16" t="s">
        <v>555</v>
      </c>
      <c r="C21" s="11" t="s">
        <v>73</v>
      </c>
      <c r="D21" s="11" t="s">
        <v>666</v>
      </c>
      <c r="E21" s="11" t="s">
        <v>558</v>
      </c>
      <c r="F21" s="73"/>
    </row>
    <row r="22" spans="1:6" ht="15.6" x14ac:dyDescent="0.35">
      <c r="A22" s="16">
        <v>21</v>
      </c>
      <c r="B22" s="16" t="s">
        <v>555</v>
      </c>
      <c r="C22" s="11" t="s">
        <v>73</v>
      </c>
      <c r="D22" s="11" t="s">
        <v>667</v>
      </c>
      <c r="E22" s="11" t="s">
        <v>558</v>
      </c>
      <c r="F22" s="73"/>
    </row>
    <row r="23" spans="1:6" ht="15.6" x14ac:dyDescent="0.35">
      <c r="A23" s="16">
        <v>22</v>
      </c>
      <c r="B23" s="16" t="s">
        <v>555</v>
      </c>
      <c r="C23" s="11" t="s">
        <v>73</v>
      </c>
      <c r="D23" s="11" t="s">
        <v>668</v>
      </c>
      <c r="E23" s="11" t="s">
        <v>561</v>
      </c>
      <c r="F23" s="73"/>
    </row>
    <row r="24" spans="1:6" ht="15.6" x14ac:dyDescent="0.35">
      <c r="A24" s="16">
        <v>23</v>
      </c>
      <c r="B24" s="16" t="s">
        <v>555</v>
      </c>
      <c r="C24" s="11" t="s">
        <v>74</v>
      </c>
      <c r="D24" s="11" t="s">
        <v>605</v>
      </c>
      <c r="E24" s="11" t="s">
        <v>558</v>
      </c>
      <c r="F24" s="73"/>
    </row>
    <row r="25" spans="1:6" ht="15.6" x14ac:dyDescent="0.35">
      <c r="A25" s="16">
        <v>24</v>
      </c>
      <c r="B25" s="16" t="s">
        <v>555</v>
      </c>
      <c r="C25" s="11" t="s">
        <v>74</v>
      </c>
      <c r="D25" s="11" t="s">
        <v>609</v>
      </c>
      <c r="E25" s="11" t="s">
        <v>558</v>
      </c>
      <c r="F25" s="73"/>
    </row>
    <row r="26" spans="1:6" ht="15.6" x14ac:dyDescent="0.35">
      <c r="A26" s="16">
        <v>25</v>
      </c>
      <c r="B26" s="16" t="s">
        <v>555</v>
      </c>
      <c r="C26" s="11" t="s">
        <v>74</v>
      </c>
      <c r="D26" s="11" t="s">
        <v>504</v>
      </c>
      <c r="E26" s="11" t="s">
        <v>558</v>
      </c>
      <c r="F26" s="73"/>
    </row>
    <row r="27" spans="1:6" ht="15.6" x14ac:dyDescent="0.35">
      <c r="A27" s="16">
        <v>26</v>
      </c>
      <c r="B27" s="16" t="s">
        <v>555</v>
      </c>
      <c r="C27" s="11" t="s">
        <v>74</v>
      </c>
      <c r="D27" s="11" t="s">
        <v>610</v>
      </c>
      <c r="E27" s="11" t="s">
        <v>558</v>
      </c>
      <c r="F27" s="73"/>
    </row>
    <row r="28" spans="1:6" ht="15.6" x14ac:dyDescent="0.35">
      <c r="A28" s="16">
        <v>27</v>
      </c>
      <c r="B28" s="16" t="s">
        <v>555</v>
      </c>
      <c r="C28" s="11" t="s">
        <v>74</v>
      </c>
      <c r="D28" s="11" t="s">
        <v>611</v>
      </c>
      <c r="E28" s="11" t="s">
        <v>558</v>
      </c>
      <c r="F28" s="73"/>
    </row>
    <row r="29" spans="1:6" ht="15.6" x14ac:dyDescent="0.35">
      <c r="A29" s="16">
        <v>28</v>
      </c>
      <c r="B29" s="16" t="s">
        <v>555</v>
      </c>
      <c r="C29" s="11" t="s">
        <v>74</v>
      </c>
      <c r="D29" s="11" t="s">
        <v>364</v>
      </c>
      <c r="E29" s="11" t="s">
        <v>558</v>
      </c>
      <c r="F29" s="73"/>
    </row>
    <row r="30" spans="1:6" ht="15.6" x14ac:dyDescent="0.35">
      <c r="A30" s="16">
        <v>29</v>
      </c>
      <c r="B30" s="16" t="s">
        <v>555</v>
      </c>
      <c r="C30" s="11" t="s">
        <v>74</v>
      </c>
      <c r="D30" s="11" t="s">
        <v>505</v>
      </c>
      <c r="E30" s="11" t="s">
        <v>558</v>
      </c>
      <c r="F30" s="73"/>
    </row>
    <row r="31" spans="1:6" ht="15.6" x14ac:dyDescent="0.35">
      <c r="A31" s="16">
        <v>30</v>
      </c>
      <c r="B31" s="16" t="s">
        <v>555</v>
      </c>
      <c r="C31" s="11" t="s">
        <v>74</v>
      </c>
      <c r="D31" s="11" t="s">
        <v>612</v>
      </c>
      <c r="E31" s="11" t="s">
        <v>558</v>
      </c>
      <c r="F31" s="73"/>
    </row>
    <row r="32" spans="1:6" ht="15.6" x14ac:dyDescent="0.35">
      <c r="A32" s="16">
        <v>31</v>
      </c>
      <c r="B32" s="16" t="s">
        <v>555</v>
      </c>
      <c r="C32" s="11" t="s">
        <v>74</v>
      </c>
      <c r="D32" s="11" t="s">
        <v>613</v>
      </c>
      <c r="E32" s="11" t="s">
        <v>558</v>
      </c>
      <c r="F32" s="73"/>
    </row>
    <row r="33" spans="1:6" ht="15.6" x14ac:dyDescent="0.35">
      <c r="A33" s="16">
        <v>32</v>
      </c>
      <c r="B33" s="16" t="s">
        <v>555</v>
      </c>
      <c r="C33" s="11" t="s">
        <v>74</v>
      </c>
      <c r="D33" s="11" t="s">
        <v>614</v>
      </c>
      <c r="E33" s="11" t="s">
        <v>558</v>
      </c>
      <c r="F33" s="73"/>
    </row>
    <row r="34" spans="1:6" ht="15.6" x14ac:dyDescent="0.35">
      <c r="A34" s="16">
        <v>33</v>
      </c>
      <c r="B34" s="16" t="s">
        <v>555</v>
      </c>
      <c r="C34" s="55" t="s">
        <v>74</v>
      </c>
      <c r="D34" s="11" t="s">
        <v>615</v>
      </c>
      <c r="E34" s="11" t="s">
        <v>558</v>
      </c>
      <c r="F34" s="73"/>
    </row>
    <row r="35" spans="1:6" ht="15.6" x14ac:dyDescent="0.35">
      <c r="A35" s="16">
        <v>34</v>
      </c>
      <c r="B35" s="16" t="s">
        <v>555</v>
      </c>
      <c r="C35" s="11" t="s">
        <v>74</v>
      </c>
      <c r="D35" s="11" t="s">
        <v>616</v>
      </c>
      <c r="E35" s="11" t="s">
        <v>558</v>
      </c>
      <c r="F35" s="73"/>
    </row>
    <row r="36" spans="1:6" ht="15.6" x14ac:dyDescent="0.35">
      <c r="A36" s="16">
        <v>35</v>
      </c>
      <c r="B36" s="16" t="s">
        <v>555</v>
      </c>
      <c r="C36" s="11" t="s">
        <v>74</v>
      </c>
      <c r="D36" s="11" t="s">
        <v>617</v>
      </c>
      <c r="E36" s="11" t="s">
        <v>558</v>
      </c>
      <c r="F36" s="73"/>
    </row>
    <row r="37" spans="1:6" ht="15.6" x14ac:dyDescent="0.35">
      <c r="A37" s="16">
        <v>36</v>
      </c>
      <c r="B37" s="16" t="s">
        <v>555</v>
      </c>
      <c r="C37" s="11" t="s">
        <v>74</v>
      </c>
      <c r="D37" s="11" t="s">
        <v>506</v>
      </c>
      <c r="E37" s="11" t="s">
        <v>558</v>
      </c>
      <c r="F37" s="74"/>
    </row>
    <row r="38" spans="1:6" ht="15.6" x14ac:dyDescent="0.35">
      <c r="A38" s="16">
        <v>37</v>
      </c>
      <c r="B38" s="16" t="s">
        <v>555</v>
      </c>
      <c r="C38" s="11" t="s">
        <v>74</v>
      </c>
      <c r="D38" s="11" t="s">
        <v>507</v>
      </c>
      <c r="E38" s="11" t="s">
        <v>558</v>
      </c>
      <c r="F38" s="74"/>
    </row>
    <row r="39" spans="1:6" ht="15.6" x14ac:dyDescent="0.35">
      <c r="A39" s="16">
        <v>38</v>
      </c>
      <c r="B39" s="16" t="s">
        <v>555</v>
      </c>
      <c r="C39" s="11" t="s">
        <v>74</v>
      </c>
      <c r="D39" s="11" t="s">
        <v>508</v>
      </c>
      <c r="E39" s="11" t="s">
        <v>558</v>
      </c>
      <c r="F39" s="74"/>
    </row>
    <row r="40" spans="1:6" ht="15.6" x14ac:dyDescent="0.35">
      <c r="A40" s="16">
        <v>39</v>
      </c>
      <c r="B40" s="16" t="s">
        <v>555</v>
      </c>
      <c r="C40" s="11" t="s">
        <v>74</v>
      </c>
      <c r="D40" s="11" t="s">
        <v>509</v>
      </c>
      <c r="E40" s="11" t="s">
        <v>558</v>
      </c>
      <c r="F40" s="74"/>
    </row>
    <row r="41" spans="1:6" ht="15.6" x14ac:dyDescent="0.35">
      <c r="A41" s="16">
        <v>40</v>
      </c>
      <c r="B41" s="16" t="s">
        <v>555</v>
      </c>
      <c r="C41" s="11" t="s">
        <v>74</v>
      </c>
      <c r="D41" s="11" t="s">
        <v>510</v>
      </c>
      <c r="E41" s="11" t="s">
        <v>558</v>
      </c>
      <c r="F41" s="74"/>
    </row>
  </sheetData>
  <autoFilter ref="A1:F38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opLeftCell="A16" workbookViewId="0">
      <selection activeCell="A73" sqref="A73"/>
    </sheetView>
  </sheetViews>
  <sheetFormatPr defaultRowHeight="13.2" x14ac:dyDescent="0.3"/>
  <cols>
    <col min="1" max="1" width="29.109375" style="25" bestFit="1" customWidth="1"/>
    <col min="2" max="2" width="30.21875" style="54" customWidth="1"/>
    <col min="3" max="3" width="12.21875" style="25" customWidth="1"/>
    <col min="4" max="4" width="41.5546875" style="25" customWidth="1"/>
    <col min="5" max="16384" width="8.88671875" style="25"/>
  </cols>
  <sheetData>
    <row r="1" spans="1:10" s="63" customFormat="1" ht="12" x14ac:dyDescent="0.25">
      <c r="A1" s="62" t="s">
        <v>216</v>
      </c>
      <c r="B1" s="62" t="s">
        <v>414</v>
      </c>
      <c r="C1" s="62" t="s">
        <v>217</v>
      </c>
      <c r="D1" s="62" t="s">
        <v>105</v>
      </c>
      <c r="E1" s="62" t="s">
        <v>211</v>
      </c>
      <c r="F1" s="62" t="s">
        <v>213</v>
      </c>
      <c r="G1" s="62" t="s">
        <v>55</v>
      </c>
    </row>
    <row r="2" spans="1:10" x14ac:dyDescent="0.3">
      <c r="A2" s="60" t="s">
        <v>275</v>
      </c>
      <c r="B2" s="60" t="s">
        <v>276</v>
      </c>
      <c r="C2" s="60" t="s">
        <v>430</v>
      </c>
      <c r="D2" s="60"/>
      <c r="E2" s="24" t="s">
        <v>186</v>
      </c>
      <c r="F2" s="24" t="s">
        <v>54</v>
      </c>
      <c r="G2" s="60" t="s">
        <v>204</v>
      </c>
    </row>
    <row r="3" spans="1:10" x14ac:dyDescent="0.3">
      <c r="A3" s="60" t="s">
        <v>86</v>
      </c>
      <c r="B3" s="60" t="s">
        <v>302</v>
      </c>
      <c r="C3" s="60" t="s">
        <v>430</v>
      </c>
      <c r="D3" s="60" t="s">
        <v>345</v>
      </c>
      <c r="E3" s="24" t="s">
        <v>186</v>
      </c>
      <c r="F3" s="24" t="s">
        <v>54</v>
      </c>
      <c r="G3" s="60" t="s">
        <v>204</v>
      </c>
    </row>
    <row r="4" spans="1:10" x14ac:dyDescent="0.3">
      <c r="A4" s="60" t="s">
        <v>70</v>
      </c>
      <c r="B4" s="60" t="s">
        <v>286</v>
      </c>
      <c r="C4" s="60" t="s">
        <v>430</v>
      </c>
      <c r="D4" s="60"/>
      <c r="E4" s="24" t="s">
        <v>54</v>
      </c>
      <c r="F4" s="24" t="s">
        <v>54</v>
      </c>
      <c r="G4" s="60" t="s">
        <v>740</v>
      </c>
    </row>
    <row r="5" spans="1:10" x14ac:dyDescent="0.3">
      <c r="A5" s="60" t="s">
        <v>368</v>
      </c>
      <c r="B5" s="60" t="s">
        <v>287</v>
      </c>
      <c r="C5" s="60" t="s">
        <v>430</v>
      </c>
      <c r="D5" s="60"/>
      <c r="E5" s="24" t="s">
        <v>186</v>
      </c>
      <c r="F5" s="24" t="s">
        <v>186</v>
      </c>
      <c r="G5" s="24" t="s">
        <v>186</v>
      </c>
    </row>
    <row r="6" spans="1:10" x14ac:dyDescent="0.3">
      <c r="A6" s="60" t="s">
        <v>162</v>
      </c>
      <c r="B6" s="60" t="s">
        <v>337</v>
      </c>
      <c r="C6" s="60" t="s">
        <v>618</v>
      </c>
      <c r="D6" s="60" t="s">
        <v>338</v>
      </c>
      <c r="E6" s="24" t="s">
        <v>186</v>
      </c>
      <c r="F6" s="24" t="s">
        <v>186</v>
      </c>
      <c r="G6" s="24" t="s">
        <v>186</v>
      </c>
    </row>
    <row r="7" spans="1:10" x14ac:dyDescent="0.3">
      <c r="A7" s="60" t="s">
        <v>4</v>
      </c>
      <c r="B7" s="60" t="s">
        <v>303</v>
      </c>
      <c r="C7" s="60" t="s">
        <v>430</v>
      </c>
      <c r="D7" s="60" t="s">
        <v>304</v>
      </c>
      <c r="E7" s="24" t="s">
        <v>186</v>
      </c>
      <c r="F7" s="24" t="s">
        <v>54</v>
      </c>
      <c r="G7" s="60" t="s">
        <v>204</v>
      </c>
    </row>
    <row r="8" spans="1:10" x14ac:dyDescent="0.3">
      <c r="A8" s="60" t="s">
        <v>164</v>
      </c>
      <c r="B8" s="60" t="s">
        <v>222</v>
      </c>
      <c r="C8" s="60" t="s">
        <v>430</v>
      </c>
      <c r="D8" s="60" t="s">
        <v>223</v>
      </c>
      <c r="E8" s="24" t="s">
        <v>54</v>
      </c>
      <c r="F8" s="24" t="s">
        <v>54</v>
      </c>
      <c r="G8" s="60" t="s">
        <v>741</v>
      </c>
      <c r="J8" s="30"/>
    </row>
    <row r="9" spans="1:10" x14ac:dyDescent="0.3">
      <c r="A9" s="60" t="s">
        <v>172</v>
      </c>
      <c r="B9" s="60" t="s">
        <v>283</v>
      </c>
      <c r="C9" s="60" t="s">
        <v>430</v>
      </c>
      <c r="D9" s="60" t="s">
        <v>284</v>
      </c>
      <c r="E9" s="24" t="s">
        <v>186</v>
      </c>
      <c r="F9" s="24" t="s">
        <v>54</v>
      </c>
      <c r="G9" s="60" t="s">
        <v>740</v>
      </c>
    </row>
    <row r="10" spans="1:10" x14ac:dyDescent="0.3">
      <c r="A10" s="60" t="s">
        <v>165</v>
      </c>
      <c r="B10" s="60" t="s">
        <v>353</v>
      </c>
      <c r="C10" s="60" t="s">
        <v>430</v>
      </c>
      <c r="D10" s="60"/>
      <c r="E10" s="24" t="s">
        <v>186</v>
      </c>
      <c r="F10" s="24" t="s">
        <v>54</v>
      </c>
      <c r="G10" s="60" t="s">
        <v>740</v>
      </c>
    </row>
    <row r="11" spans="1:10" x14ac:dyDescent="0.3">
      <c r="A11" s="60" t="s">
        <v>241</v>
      </c>
      <c r="B11" s="60" t="s">
        <v>242</v>
      </c>
      <c r="C11" s="60" t="s">
        <v>430</v>
      </c>
      <c r="D11" s="60"/>
      <c r="E11" s="24" t="s">
        <v>54</v>
      </c>
      <c r="F11" s="24" t="s">
        <v>54</v>
      </c>
      <c r="G11" s="60" t="s">
        <v>742</v>
      </c>
    </row>
    <row r="12" spans="1:10" x14ac:dyDescent="0.3">
      <c r="A12" s="60" t="s">
        <v>234</v>
      </c>
      <c r="B12" s="60" t="s">
        <v>235</v>
      </c>
      <c r="C12" s="60" t="s">
        <v>236</v>
      </c>
      <c r="D12" s="60"/>
      <c r="E12" s="24" t="s">
        <v>186</v>
      </c>
      <c r="F12" s="24" t="s">
        <v>54</v>
      </c>
      <c r="G12" s="60" t="s">
        <v>205</v>
      </c>
    </row>
    <row r="13" spans="1:10" x14ac:dyDescent="0.3">
      <c r="A13" s="60" t="s">
        <v>113</v>
      </c>
      <c r="B13" s="60" t="s">
        <v>301</v>
      </c>
      <c r="C13" s="60" t="s">
        <v>430</v>
      </c>
      <c r="D13" s="60"/>
      <c r="E13" s="24" t="s">
        <v>186</v>
      </c>
      <c r="F13" s="24" t="s">
        <v>54</v>
      </c>
      <c r="G13" s="60" t="s">
        <v>204</v>
      </c>
    </row>
    <row r="14" spans="1:10" x14ac:dyDescent="0.3">
      <c r="A14" s="60" t="s">
        <v>0</v>
      </c>
      <c r="B14" s="60" t="s">
        <v>266</v>
      </c>
      <c r="C14" s="60" t="s">
        <v>430</v>
      </c>
      <c r="D14" s="60"/>
      <c r="E14" s="24" t="s">
        <v>54</v>
      </c>
      <c r="F14" s="24" t="s">
        <v>54</v>
      </c>
      <c r="G14" s="60" t="s">
        <v>742</v>
      </c>
    </row>
    <row r="15" spans="1:10" x14ac:dyDescent="0.3">
      <c r="A15" s="60" t="s">
        <v>248</v>
      </c>
      <c r="B15" s="60" t="s">
        <v>446</v>
      </c>
      <c r="C15" s="60" t="s">
        <v>430</v>
      </c>
      <c r="D15" s="60" t="s">
        <v>249</v>
      </c>
      <c r="E15" s="24" t="s">
        <v>54</v>
      </c>
      <c r="F15" s="24" t="s">
        <v>54</v>
      </c>
      <c r="G15" s="60" t="s">
        <v>742</v>
      </c>
    </row>
    <row r="16" spans="1:10" x14ac:dyDescent="0.3">
      <c r="A16" s="60" t="s">
        <v>218</v>
      </c>
      <c r="B16" s="60" t="s">
        <v>219</v>
      </c>
      <c r="C16" s="60" t="s">
        <v>430</v>
      </c>
      <c r="D16" s="64" t="s">
        <v>413</v>
      </c>
      <c r="E16" s="24" t="s">
        <v>54</v>
      </c>
      <c r="F16" s="24" t="s">
        <v>54</v>
      </c>
      <c r="G16" s="60" t="s">
        <v>742</v>
      </c>
    </row>
    <row r="17" spans="1:7" x14ac:dyDescent="0.3">
      <c r="A17" s="60" t="s">
        <v>243</v>
      </c>
      <c r="B17" s="60" t="s">
        <v>244</v>
      </c>
      <c r="C17" s="60" t="s">
        <v>236</v>
      </c>
      <c r="D17" s="60"/>
      <c r="E17" s="24" t="s">
        <v>186</v>
      </c>
      <c r="F17" s="24" t="s">
        <v>54</v>
      </c>
      <c r="G17" s="60" t="s">
        <v>205</v>
      </c>
    </row>
    <row r="18" spans="1:7" x14ac:dyDescent="0.3">
      <c r="A18" s="60" t="s">
        <v>246</v>
      </c>
      <c r="B18" s="60" t="s">
        <v>247</v>
      </c>
      <c r="C18" s="60" t="s">
        <v>430</v>
      </c>
      <c r="D18" s="60"/>
      <c r="E18" s="24" t="s">
        <v>54</v>
      </c>
      <c r="F18" s="24" t="s">
        <v>54</v>
      </c>
      <c r="G18" s="60" t="s">
        <v>740</v>
      </c>
    </row>
    <row r="19" spans="1:7" x14ac:dyDescent="0.3">
      <c r="A19" s="60" t="s">
        <v>310</v>
      </c>
      <c r="B19" s="60" t="s">
        <v>311</v>
      </c>
      <c r="C19" s="60" t="s">
        <v>430</v>
      </c>
      <c r="D19" s="60" t="s">
        <v>417</v>
      </c>
      <c r="E19" s="24" t="s">
        <v>186</v>
      </c>
      <c r="F19" s="24" t="s">
        <v>54</v>
      </c>
      <c r="G19" s="60" t="s">
        <v>740</v>
      </c>
    </row>
    <row r="20" spans="1:7" x14ac:dyDescent="0.3">
      <c r="A20" s="60" t="s">
        <v>176</v>
      </c>
      <c r="B20" s="60" t="s">
        <v>224</v>
      </c>
      <c r="C20" s="60" t="s">
        <v>430</v>
      </c>
      <c r="D20" s="60"/>
      <c r="E20" s="24" t="s">
        <v>186</v>
      </c>
      <c r="F20" s="24" t="s">
        <v>54</v>
      </c>
      <c r="G20" s="60" t="s">
        <v>740</v>
      </c>
    </row>
    <row r="21" spans="1:7" x14ac:dyDescent="0.3">
      <c r="A21" s="60" t="s">
        <v>264</v>
      </c>
      <c r="B21" s="60" t="s">
        <v>265</v>
      </c>
      <c r="C21" s="60" t="s">
        <v>430</v>
      </c>
      <c r="D21" s="60"/>
      <c r="E21" s="24" t="s">
        <v>186</v>
      </c>
      <c r="F21" s="24" t="s">
        <v>54</v>
      </c>
      <c r="G21" s="60" t="s">
        <v>740</v>
      </c>
    </row>
    <row r="22" spans="1:7" x14ac:dyDescent="0.3">
      <c r="A22" s="60" t="s">
        <v>1</v>
      </c>
      <c r="B22" s="60" t="s">
        <v>292</v>
      </c>
      <c r="C22" s="60" t="s">
        <v>430</v>
      </c>
      <c r="D22" s="60" t="s">
        <v>293</v>
      </c>
      <c r="E22" s="24" t="s">
        <v>54</v>
      </c>
      <c r="F22" s="24" t="s">
        <v>54</v>
      </c>
      <c r="G22" s="60" t="s">
        <v>742</v>
      </c>
    </row>
    <row r="23" spans="1:7" x14ac:dyDescent="0.3">
      <c r="A23" s="60" t="s">
        <v>314</v>
      </c>
      <c r="B23" s="60" t="s">
        <v>315</v>
      </c>
      <c r="C23" s="60" t="s">
        <v>430</v>
      </c>
      <c r="D23" s="60"/>
      <c r="E23" s="24" t="s">
        <v>186</v>
      </c>
      <c r="F23" s="24" t="s">
        <v>54</v>
      </c>
      <c r="G23" s="60" t="s">
        <v>204</v>
      </c>
    </row>
    <row r="24" spans="1:7" x14ac:dyDescent="0.3">
      <c r="A24" s="60" t="s">
        <v>168</v>
      </c>
      <c r="B24" s="60" t="s">
        <v>267</v>
      </c>
      <c r="C24" s="60" t="s">
        <v>431</v>
      </c>
      <c r="D24" s="60" t="s">
        <v>268</v>
      </c>
      <c r="E24" s="24" t="s">
        <v>54</v>
      </c>
      <c r="F24" s="24" t="s">
        <v>54</v>
      </c>
      <c r="G24" s="60" t="s">
        <v>204</v>
      </c>
    </row>
    <row r="25" spans="1:7" x14ac:dyDescent="0.3">
      <c r="A25" s="60" t="s">
        <v>230</v>
      </c>
      <c r="B25" s="60" t="s">
        <v>231</v>
      </c>
      <c r="C25" s="60" t="s">
        <v>430</v>
      </c>
      <c r="D25" s="60" t="s">
        <v>418</v>
      </c>
      <c r="E25" s="24" t="s">
        <v>186</v>
      </c>
      <c r="F25" s="24" t="s">
        <v>54</v>
      </c>
      <c r="G25" s="60" t="s">
        <v>740</v>
      </c>
    </row>
    <row r="26" spans="1:7" x14ac:dyDescent="0.3">
      <c r="A26" s="60" t="s">
        <v>324</v>
      </c>
      <c r="B26" s="60" t="s">
        <v>325</v>
      </c>
      <c r="C26" s="60" t="s">
        <v>618</v>
      </c>
      <c r="D26" s="60" t="s">
        <v>338</v>
      </c>
      <c r="E26" s="24" t="s">
        <v>186</v>
      </c>
      <c r="F26" s="24" t="s">
        <v>186</v>
      </c>
      <c r="G26" s="24" t="s">
        <v>186</v>
      </c>
    </row>
    <row r="27" spans="1:7" x14ac:dyDescent="0.3">
      <c r="A27" s="60" t="s">
        <v>227</v>
      </c>
      <c r="B27" s="60" t="s">
        <v>228</v>
      </c>
      <c r="C27" s="60" t="s">
        <v>430</v>
      </c>
      <c r="D27" s="60"/>
      <c r="E27" s="24" t="s">
        <v>186</v>
      </c>
      <c r="F27" s="24" t="s">
        <v>54</v>
      </c>
      <c r="G27" s="60" t="s">
        <v>740</v>
      </c>
    </row>
    <row r="28" spans="1:7" x14ac:dyDescent="0.3">
      <c r="A28" s="60" t="s">
        <v>348</v>
      </c>
      <c r="B28" s="60" t="s">
        <v>229</v>
      </c>
      <c r="C28" s="60" t="s">
        <v>430</v>
      </c>
      <c r="D28" s="60"/>
      <c r="E28" s="24" t="s">
        <v>186</v>
      </c>
      <c r="F28" s="24" t="s">
        <v>186</v>
      </c>
      <c r="G28" s="24" t="s">
        <v>186</v>
      </c>
    </row>
    <row r="29" spans="1:7" x14ac:dyDescent="0.3">
      <c r="A29" s="23" t="s">
        <v>371</v>
      </c>
      <c r="B29" s="60" t="s">
        <v>225</v>
      </c>
      <c r="C29" s="60" t="s">
        <v>430</v>
      </c>
      <c r="D29" s="60"/>
      <c r="E29" s="24" t="s">
        <v>186</v>
      </c>
      <c r="F29" s="24" t="s">
        <v>54</v>
      </c>
      <c r="G29" s="60" t="s">
        <v>740</v>
      </c>
    </row>
    <row r="30" spans="1:7" x14ac:dyDescent="0.3">
      <c r="A30" s="23" t="s">
        <v>372</v>
      </c>
      <c r="B30" s="60" t="s">
        <v>226</v>
      </c>
      <c r="C30" s="60" t="s">
        <v>430</v>
      </c>
      <c r="D30" s="60"/>
      <c r="E30" s="24" t="s">
        <v>186</v>
      </c>
      <c r="F30" s="24" t="s">
        <v>186</v>
      </c>
      <c r="G30" s="24" t="s">
        <v>186</v>
      </c>
    </row>
    <row r="31" spans="1:7" x14ac:dyDescent="0.3">
      <c r="A31" s="60" t="s">
        <v>319</v>
      </c>
      <c r="B31" s="60" t="s">
        <v>320</v>
      </c>
      <c r="C31" s="60" t="s">
        <v>430</v>
      </c>
      <c r="D31" s="60"/>
      <c r="E31" s="24" t="s">
        <v>186</v>
      </c>
      <c r="F31" s="24" t="s">
        <v>54</v>
      </c>
      <c r="G31" s="60" t="s">
        <v>204</v>
      </c>
    </row>
    <row r="32" spans="1:7" x14ac:dyDescent="0.3">
      <c r="A32" s="60" t="s">
        <v>307</v>
      </c>
      <c r="B32" s="60" t="s">
        <v>308</v>
      </c>
      <c r="C32" s="60" t="s">
        <v>430</v>
      </c>
      <c r="D32" s="60"/>
      <c r="E32" s="24" t="s">
        <v>186</v>
      </c>
      <c r="F32" s="24" t="s">
        <v>54</v>
      </c>
      <c r="G32" s="60" t="s">
        <v>204</v>
      </c>
    </row>
    <row r="33" spans="1:11" x14ac:dyDescent="0.3">
      <c r="A33" s="60" t="s">
        <v>429</v>
      </c>
      <c r="B33" s="60" t="s">
        <v>321</v>
      </c>
      <c r="C33" s="60" t="s">
        <v>430</v>
      </c>
      <c r="D33" s="60"/>
      <c r="E33" s="24" t="s">
        <v>186</v>
      </c>
      <c r="F33" s="24" t="s">
        <v>54</v>
      </c>
      <c r="G33" s="60" t="s">
        <v>204</v>
      </c>
    </row>
    <row r="34" spans="1:11" x14ac:dyDescent="0.3">
      <c r="A34" s="60" t="s">
        <v>322</v>
      </c>
      <c r="B34" s="60" t="s">
        <v>323</v>
      </c>
      <c r="C34" s="60" t="s">
        <v>430</v>
      </c>
      <c r="D34" s="60"/>
      <c r="E34" s="24" t="s">
        <v>186</v>
      </c>
      <c r="F34" s="24" t="s">
        <v>54</v>
      </c>
      <c r="G34" s="60" t="s">
        <v>204</v>
      </c>
    </row>
    <row r="35" spans="1:11" x14ac:dyDescent="0.3">
      <c r="A35" s="60" t="s">
        <v>232</v>
      </c>
      <c r="B35" s="60" t="s">
        <v>233</v>
      </c>
      <c r="C35" s="60" t="s">
        <v>430</v>
      </c>
      <c r="D35" s="60"/>
      <c r="E35" s="24" t="s">
        <v>186</v>
      </c>
      <c r="F35" s="24" t="s">
        <v>54</v>
      </c>
      <c r="G35" s="60" t="s">
        <v>743</v>
      </c>
      <c r="K35" s="25" t="s">
        <v>432</v>
      </c>
    </row>
    <row r="36" spans="1:11" x14ac:dyDescent="0.3">
      <c r="A36" s="60" t="s">
        <v>297</v>
      </c>
      <c r="B36" s="60" t="s">
        <v>298</v>
      </c>
      <c r="C36" s="60" t="s">
        <v>430</v>
      </c>
      <c r="D36" s="60"/>
      <c r="E36" s="24" t="s">
        <v>186</v>
      </c>
      <c r="F36" s="24" t="s">
        <v>54</v>
      </c>
      <c r="G36" s="60" t="s">
        <v>740</v>
      </c>
    </row>
    <row r="37" spans="1:11" x14ac:dyDescent="0.3">
      <c r="A37" s="60" t="s">
        <v>21</v>
      </c>
      <c r="B37" s="60" t="s">
        <v>245</v>
      </c>
      <c r="C37" s="60" t="s">
        <v>430</v>
      </c>
      <c r="D37" s="60"/>
      <c r="E37" s="24" t="s">
        <v>186</v>
      </c>
      <c r="F37" s="24" t="s">
        <v>54</v>
      </c>
      <c r="G37" s="60" t="s">
        <v>743</v>
      </c>
    </row>
    <row r="38" spans="1:11" x14ac:dyDescent="0.3">
      <c r="A38" s="60" t="s">
        <v>312</v>
      </c>
      <c r="B38" s="60" t="s">
        <v>313</v>
      </c>
      <c r="C38" s="60" t="s">
        <v>430</v>
      </c>
      <c r="D38" s="60"/>
      <c r="E38" s="24" t="s">
        <v>186</v>
      </c>
      <c r="F38" s="24" t="s">
        <v>54</v>
      </c>
      <c r="G38" s="60" t="s">
        <v>204</v>
      </c>
    </row>
    <row r="39" spans="1:11" x14ac:dyDescent="0.3">
      <c r="A39" s="60" t="s">
        <v>511</v>
      </c>
      <c r="B39" s="60" t="s">
        <v>237</v>
      </c>
      <c r="C39" s="60" t="s">
        <v>430</v>
      </c>
      <c r="D39" s="60"/>
      <c r="E39" s="24" t="s">
        <v>186</v>
      </c>
      <c r="F39" s="24" t="s">
        <v>54</v>
      </c>
      <c r="G39" s="60" t="s">
        <v>743</v>
      </c>
    </row>
    <row r="40" spans="1:11" x14ac:dyDescent="0.3">
      <c r="A40" s="60" t="s">
        <v>151</v>
      </c>
      <c r="B40" s="60" t="s">
        <v>342</v>
      </c>
      <c r="C40" s="60" t="s">
        <v>430</v>
      </c>
      <c r="D40" s="60" t="s">
        <v>343</v>
      </c>
      <c r="E40" s="24" t="s">
        <v>186</v>
      </c>
      <c r="F40" s="24" t="s">
        <v>186</v>
      </c>
      <c r="G40" s="60" t="s">
        <v>204</v>
      </c>
    </row>
    <row r="41" spans="1:11" x14ac:dyDescent="0.3">
      <c r="A41" s="60" t="s">
        <v>166</v>
      </c>
      <c r="B41" s="60" t="s">
        <v>269</v>
      </c>
      <c r="C41" s="60" t="s">
        <v>430</v>
      </c>
      <c r="D41" s="60"/>
      <c r="E41" s="24" t="s">
        <v>186</v>
      </c>
      <c r="F41" s="24" t="s">
        <v>54</v>
      </c>
      <c r="G41" s="60" t="s">
        <v>743</v>
      </c>
    </row>
    <row r="42" spans="1:11" x14ac:dyDescent="0.3">
      <c r="A42" s="60" t="s">
        <v>133</v>
      </c>
      <c r="B42" s="60" t="s">
        <v>341</v>
      </c>
      <c r="C42" s="60" t="s">
        <v>430</v>
      </c>
      <c r="D42" s="60"/>
      <c r="E42" s="24" t="s">
        <v>186</v>
      </c>
      <c r="F42" s="24" t="s">
        <v>54</v>
      </c>
      <c r="G42" s="60" t="s">
        <v>204</v>
      </c>
    </row>
    <row r="43" spans="1:11" x14ac:dyDescent="0.3">
      <c r="A43" s="60" t="s">
        <v>328</v>
      </c>
      <c r="B43" s="60" t="s">
        <v>329</v>
      </c>
      <c r="C43" s="60" t="s">
        <v>236</v>
      </c>
      <c r="D43" s="60"/>
      <c r="E43" s="24" t="s">
        <v>54</v>
      </c>
      <c r="F43" s="24" t="s">
        <v>54</v>
      </c>
      <c r="G43" s="60" t="s">
        <v>205</v>
      </c>
    </row>
    <row r="44" spans="1:11" x14ac:dyDescent="0.3">
      <c r="A44" s="60" t="s">
        <v>332</v>
      </c>
      <c r="B44" s="60" t="s">
        <v>333</v>
      </c>
      <c r="C44" s="60" t="s">
        <v>240</v>
      </c>
      <c r="D44" s="60" t="s">
        <v>415</v>
      </c>
      <c r="E44" s="24" t="s">
        <v>186</v>
      </c>
      <c r="F44" s="24" t="s">
        <v>54</v>
      </c>
      <c r="G44" s="60" t="s">
        <v>206</v>
      </c>
    </row>
    <row r="45" spans="1:11" x14ac:dyDescent="0.3">
      <c r="A45" s="60" t="s">
        <v>109</v>
      </c>
      <c r="B45" s="60" t="s">
        <v>336</v>
      </c>
      <c r="C45" s="60" t="s">
        <v>240</v>
      </c>
      <c r="D45" s="60" t="s">
        <v>416</v>
      </c>
      <c r="E45" s="24" t="s">
        <v>54</v>
      </c>
      <c r="F45" s="24" t="s">
        <v>54</v>
      </c>
      <c r="G45" s="60" t="s">
        <v>206</v>
      </c>
    </row>
    <row r="46" spans="1:11" x14ac:dyDescent="0.3">
      <c r="A46" s="60" t="s">
        <v>169</v>
      </c>
      <c r="B46" s="60" t="s">
        <v>285</v>
      </c>
      <c r="C46" s="60" t="s">
        <v>240</v>
      </c>
      <c r="D46" s="60"/>
      <c r="E46" s="24" t="s">
        <v>54</v>
      </c>
      <c r="F46" s="24" t="s">
        <v>54</v>
      </c>
      <c r="G46" s="60" t="s">
        <v>206</v>
      </c>
    </row>
    <row r="47" spans="1:11" x14ac:dyDescent="0.3">
      <c r="A47" s="60" t="s">
        <v>177</v>
      </c>
      <c r="B47" s="60" t="s">
        <v>239</v>
      </c>
      <c r="C47" s="60" t="s">
        <v>240</v>
      </c>
      <c r="D47" s="60" t="s">
        <v>620</v>
      </c>
      <c r="E47" s="24" t="s">
        <v>54</v>
      </c>
      <c r="F47" s="24" t="s">
        <v>54</v>
      </c>
      <c r="G47" s="60" t="s">
        <v>206</v>
      </c>
    </row>
    <row r="48" spans="1:11" x14ac:dyDescent="0.3">
      <c r="A48" s="60" t="s">
        <v>330</v>
      </c>
      <c r="B48" s="60" t="s">
        <v>331</v>
      </c>
      <c r="C48" s="60" t="s">
        <v>430</v>
      </c>
      <c r="D48" s="60"/>
      <c r="E48" s="24" t="s">
        <v>54</v>
      </c>
      <c r="F48" s="24" t="s">
        <v>54</v>
      </c>
      <c r="G48" s="60" t="s">
        <v>743</v>
      </c>
    </row>
    <row r="49" spans="1:7" x14ac:dyDescent="0.3">
      <c r="A49" s="60" t="s">
        <v>334</v>
      </c>
      <c r="B49" s="60" t="s">
        <v>335</v>
      </c>
      <c r="C49" s="60" t="s">
        <v>618</v>
      </c>
      <c r="D49" s="60" t="s">
        <v>349</v>
      </c>
      <c r="E49" s="24" t="s">
        <v>186</v>
      </c>
      <c r="F49" s="24" t="s">
        <v>186</v>
      </c>
      <c r="G49" s="24" t="s">
        <v>186</v>
      </c>
    </row>
    <row r="50" spans="1:7" x14ac:dyDescent="0.3">
      <c r="A50" s="60" t="s">
        <v>112</v>
      </c>
      <c r="B50" s="60" t="s">
        <v>306</v>
      </c>
      <c r="C50" s="60" t="s">
        <v>430</v>
      </c>
      <c r="D50" s="60"/>
      <c r="E50" s="24" t="s">
        <v>186</v>
      </c>
      <c r="F50" s="24" t="s">
        <v>54</v>
      </c>
      <c r="G50" s="60" t="s">
        <v>204</v>
      </c>
    </row>
    <row r="51" spans="1:7" x14ac:dyDescent="0.3">
      <c r="A51" s="60" t="s">
        <v>135</v>
      </c>
      <c r="B51" s="60" t="s">
        <v>318</v>
      </c>
      <c r="C51" s="60" t="s">
        <v>430</v>
      </c>
      <c r="D51" s="60"/>
      <c r="E51" s="24" t="s">
        <v>186</v>
      </c>
      <c r="F51" s="24" t="s">
        <v>54</v>
      </c>
      <c r="G51" s="60" t="s">
        <v>204</v>
      </c>
    </row>
    <row r="52" spans="1:7" x14ac:dyDescent="0.3">
      <c r="A52" s="60" t="s">
        <v>277</v>
      </c>
      <c r="B52" s="60" t="s">
        <v>278</v>
      </c>
      <c r="C52" s="60" t="s">
        <v>430</v>
      </c>
      <c r="D52" s="60"/>
      <c r="E52" s="24" t="s">
        <v>186</v>
      </c>
      <c r="F52" s="24" t="s">
        <v>54</v>
      </c>
      <c r="G52" s="60" t="s">
        <v>204</v>
      </c>
    </row>
    <row r="53" spans="1:7" x14ac:dyDescent="0.3">
      <c r="A53" s="60" t="s">
        <v>260</v>
      </c>
      <c r="B53" s="60" t="s">
        <v>261</v>
      </c>
      <c r="C53" s="60" t="s">
        <v>430</v>
      </c>
      <c r="D53" s="60"/>
      <c r="E53" s="24" t="s">
        <v>186</v>
      </c>
      <c r="F53" s="24" t="s">
        <v>54</v>
      </c>
      <c r="G53" s="60" t="s">
        <v>204</v>
      </c>
    </row>
    <row r="54" spans="1:7" x14ac:dyDescent="0.3">
      <c r="A54" s="60" t="s">
        <v>6</v>
      </c>
      <c r="B54" s="60" t="s">
        <v>309</v>
      </c>
      <c r="C54" s="60" t="s">
        <v>430</v>
      </c>
      <c r="D54" s="60"/>
      <c r="E54" s="24" t="s">
        <v>186</v>
      </c>
      <c r="F54" s="24" t="s">
        <v>54</v>
      </c>
      <c r="G54" s="60" t="s">
        <v>204</v>
      </c>
    </row>
    <row r="55" spans="1:7" x14ac:dyDescent="0.3">
      <c r="A55" s="60" t="s">
        <v>290</v>
      </c>
      <c r="B55" s="60" t="s">
        <v>291</v>
      </c>
      <c r="C55" s="60" t="s">
        <v>430</v>
      </c>
      <c r="D55" s="60"/>
      <c r="E55" s="24" t="s">
        <v>186</v>
      </c>
      <c r="F55" s="24" t="s">
        <v>54</v>
      </c>
      <c r="G55" s="60" t="s">
        <v>743</v>
      </c>
    </row>
    <row r="56" spans="1:7" x14ac:dyDescent="0.3">
      <c r="A56" s="60" t="s">
        <v>512</v>
      </c>
      <c r="B56" s="60" t="s">
        <v>238</v>
      </c>
      <c r="C56" s="60" t="s">
        <v>236</v>
      </c>
      <c r="D56" s="60"/>
      <c r="E56" s="24" t="s">
        <v>186</v>
      </c>
      <c r="F56" s="24" t="s">
        <v>54</v>
      </c>
      <c r="G56" s="60" t="s">
        <v>205</v>
      </c>
    </row>
    <row r="57" spans="1:7" x14ac:dyDescent="0.3">
      <c r="A57" s="60" t="s">
        <v>153</v>
      </c>
      <c r="B57" s="60" t="s">
        <v>282</v>
      </c>
      <c r="C57" s="60" t="s">
        <v>430</v>
      </c>
      <c r="D57" s="60"/>
      <c r="E57" s="24" t="s">
        <v>186</v>
      </c>
      <c r="F57" s="24" t="s">
        <v>186</v>
      </c>
      <c r="G57" s="24" t="s">
        <v>186</v>
      </c>
    </row>
    <row r="58" spans="1:7" x14ac:dyDescent="0.3">
      <c r="A58" s="60" t="s">
        <v>279</v>
      </c>
      <c r="B58" s="60" t="s">
        <v>280</v>
      </c>
      <c r="C58" s="60" t="s">
        <v>236</v>
      </c>
      <c r="D58" s="60" t="s">
        <v>281</v>
      </c>
      <c r="E58" s="24" t="s">
        <v>186</v>
      </c>
      <c r="F58" s="24" t="s">
        <v>54</v>
      </c>
      <c r="G58" s="60" t="s">
        <v>205</v>
      </c>
    </row>
    <row r="59" spans="1:7" x14ac:dyDescent="0.3">
      <c r="A59" s="60" t="s">
        <v>262</v>
      </c>
      <c r="B59" s="60" t="s">
        <v>263</v>
      </c>
      <c r="C59" s="60" t="s">
        <v>236</v>
      </c>
      <c r="D59" s="60"/>
      <c r="E59" s="24" t="s">
        <v>54</v>
      </c>
      <c r="F59" s="24" t="s">
        <v>54</v>
      </c>
      <c r="G59" s="60" t="s">
        <v>205</v>
      </c>
    </row>
    <row r="60" spans="1:7" x14ac:dyDescent="0.3">
      <c r="A60" s="60" t="s">
        <v>125</v>
      </c>
      <c r="B60" s="60" t="s">
        <v>316</v>
      </c>
      <c r="C60" s="60" t="s">
        <v>430</v>
      </c>
      <c r="D60" s="60"/>
      <c r="E60" s="24" t="s">
        <v>186</v>
      </c>
      <c r="F60" s="24" t="s">
        <v>54</v>
      </c>
      <c r="G60" s="60" t="s">
        <v>204</v>
      </c>
    </row>
    <row r="61" spans="1:7" x14ac:dyDescent="0.3">
      <c r="A61" s="60" t="s">
        <v>129</v>
      </c>
      <c r="B61" s="60" t="s">
        <v>388</v>
      </c>
      <c r="C61" s="60" t="s">
        <v>430</v>
      </c>
      <c r="D61" s="60"/>
      <c r="E61" s="24" t="s">
        <v>186</v>
      </c>
      <c r="F61" s="24" t="s">
        <v>54</v>
      </c>
      <c r="G61" s="60" t="s">
        <v>204</v>
      </c>
    </row>
    <row r="62" spans="1:7" x14ac:dyDescent="0.3">
      <c r="A62" s="60" t="s">
        <v>387</v>
      </c>
      <c r="B62" s="60" t="s">
        <v>389</v>
      </c>
      <c r="C62" s="60" t="s">
        <v>430</v>
      </c>
      <c r="D62" s="60"/>
      <c r="E62" s="24" t="s">
        <v>186</v>
      </c>
      <c r="F62" s="24" t="s">
        <v>54</v>
      </c>
      <c r="G62" s="60" t="s">
        <v>204</v>
      </c>
    </row>
    <row r="63" spans="1:7" x14ac:dyDescent="0.3">
      <c r="A63" s="60" t="s">
        <v>118</v>
      </c>
      <c r="B63" s="60" t="s">
        <v>305</v>
      </c>
      <c r="C63" s="60" t="s">
        <v>430</v>
      </c>
      <c r="D63" s="60"/>
      <c r="E63" s="24" t="s">
        <v>186</v>
      </c>
      <c r="F63" s="24" t="s">
        <v>54</v>
      </c>
      <c r="G63" s="60" t="s">
        <v>204</v>
      </c>
    </row>
    <row r="64" spans="1:7" x14ac:dyDescent="0.3">
      <c r="A64" s="60" t="s">
        <v>116</v>
      </c>
      <c r="B64" s="60" t="s">
        <v>317</v>
      </c>
      <c r="C64" s="60" t="s">
        <v>430</v>
      </c>
      <c r="D64" s="60"/>
      <c r="E64" s="24" t="s">
        <v>186</v>
      </c>
      <c r="F64" s="24" t="s">
        <v>54</v>
      </c>
      <c r="G64" s="60" t="s">
        <v>204</v>
      </c>
    </row>
    <row r="65" spans="1:7" x14ac:dyDescent="0.3">
      <c r="A65" s="60" t="s">
        <v>131</v>
      </c>
      <c r="B65" s="60" t="s">
        <v>339</v>
      </c>
      <c r="C65" s="60" t="s">
        <v>430</v>
      </c>
      <c r="D65" s="60" t="s">
        <v>340</v>
      </c>
      <c r="E65" s="24" t="s">
        <v>186</v>
      </c>
      <c r="F65" s="24" t="s">
        <v>54</v>
      </c>
      <c r="G65" s="60" t="s">
        <v>204</v>
      </c>
    </row>
    <row r="66" spans="1:7" x14ac:dyDescent="0.3">
      <c r="A66" s="60" t="s">
        <v>273</v>
      </c>
      <c r="B66" s="60" t="s">
        <v>274</v>
      </c>
      <c r="C66" s="60" t="s">
        <v>430</v>
      </c>
      <c r="D66" s="60"/>
      <c r="E66" s="24" t="s">
        <v>186</v>
      </c>
      <c r="F66" s="24" t="s">
        <v>54</v>
      </c>
      <c r="G66" s="60" t="s">
        <v>204</v>
      </c>
    </row>
    <row r="67" spans="1:7" x14ac:dyDescent="0.3">
      <c r="A67" s="60" t="s">
        <v>326</v>
      </c>
      <c r="B67" s="60" t="s">
        <v>327</v>
      </c>
      <c r="C67" s="60" t="s">
        <v>236</v>
      </c>
      <c r="D67" s="60"/>
      <c r="E67" s="24" t="s">
        <v>186</v>
      </c>
      <c r="F67" s="24" t="s">
        <v>54</v>
      </c>
      <c r="G67" s="60" t="s">
        <v>205</v>
      </c>
    </row>
    <row r="68" spans="1:7" x14ac:dyDescent="0.3">
      <c r="A68" s="60" t="s">
        <v>288</v>
      </c>
      <c r="B68" s="60" t="s">
        <v>289</v>
      </c>
      <c r="C68" s="60" t="s">
        <v>236</v>
      </c>
      <c r="D68" s="60" t="s">
        <v>271</v>
      </c>
      <c r="E68" s="24" t="s">
        <v>186</v>
      </c>
      <c r="F68" s="24" t="s">
        <v>54</v>
      </c>
      <c r="G68" s="60" t="s">
        <v>205</v>
      </c>
    </row>
    <row r="69" spans="1:7" x14ac:dyDescent="0.3">
      <c r="A69" s="60" t="s">
        <v>250</v>
      </c>
      <c r="B69" s="60" t="s">
        <v>251</v>
      </c>
      <c r="C69" s="60" t="s">
        <v>430</v>
      </c>
      <c r="D69" s="60"/>
      <c r="E69" s="24" t="s">
        <v>186</v>
      </c>
      <c r="F69" s="24" t="s">
        <v>54</v>
      </c>
      <c r="G69" s="60" t="s">
        <v>743</v>
      </c>
    </row>
    <row r="70" spans="1:7" x14ac:dyDescent="0.3">
      <c r="A70" s="60" t="s">
        <v>167</v>
      </c>
      <c r="B70" s="60" t="s">
        <v>270</v>
      </c>
      <c r="C70" s="60" t="s">
        <v>236</v>
      </c>
      <c r="D70" s="60" t="s">
        <v>271</v>
      </c>
      <c r="E70" s="24" t="s">
        <v>186</v>
      </c>
      <c r="F70" s="24" t="s">
        <v>54</v>
      </c>
      <c r="G70" s="60" t="s">
        <v>205</v>
      </c>
    </row>
    <row r="71" spans="1:7" x14ac:dyDescent="0.3">
      <c r="A71" s="60" t="s">
        <v>121</v>
      </c>
      <c r="B71" s="60" t="s">
        <v>272</v>
      </c>
      <c r="C71" s="60" t="s">
        <v>430</v>
      </c>
      <c r="D71" s="60"/>
      <c r="E71" s="24" t="s">
        <v>186</v>
      </c>
      <c r="F71" s="24" t="s">
        <v>54</v>
      </c>
      <c r="G71" s="60" t="s">
        <v>204</v>
      </c>
    </row>
    <row r="72" spans="1:7" x14ac:dyDescent="0.3">
      <c r="A72" s="60" t="s">
        <v>547</v>
      </c>
      <c r="B72" s="60" t="s">
        <v>295</v>
      </c>
      <c r="C72" s="60" t="s">
        <v>430</v>
      </c>
      <c r="D72" s="60" t="s">
        <v>296</v>
      </c>
      <c r="E72" s="24" t="s">
        <v>186</v>
      </c>
      <c r="F72" s="24" t="s">
        <v>54</v>
      </c>
      <c r="G72" s="60" t="s">
        <v>204</v>
      </c>
    </row>
    <row r="73" spans="1:7" x14ac:dyDescent="0.3">
      <c r="A73" s="60" t="s">
        <v>299</v>
      </c>
      <c r="B73" s="60" t="s">
        <v>300</v>
      </c>
      <c r="C73" s="60" t="s">
        <v>430</v>
      </c>
      <c r="D73" s="60"/>
      <c r="E73" s="24" t="s">
        <v>186</v>
      </c>
      <c r="F73" s="24" t="s">
        <v>54</v>
      </c>
      <c r="G73" s="60" t="s">
        <v>740</v>
      </c>
    </row>
    <row r="74" spans="1:7" x14ac:dyDescent="0.3">
      <c r="A74" s="60" t="s">
        <v>220</v>
      </c>
      <c r="B74" s="60" t="s">
        <v>221</v>
      </c>
      <c r="C74" s="60" t="s">
        <v>430</v>
      </c>
      <c r="D74" s="60"/>
      <c r="E74" s="24" t="s">
        <v>186</v>
      </c>
      <c r="F74" s="24" t="s">
        <v>54</v>
      </c>
      <c r="G74" s="60" t="s">
        <v>743</v>
      </c>
    </row>
    <row r="75" spans="1:7" x14ac:dyDescent="0.3">
      <c r="A75" s="60" t="s">
        <v>257</v>
      </c>
      <c r="B75" s="60" t="s">
        <v>258</v>
      </c>
      <c r="C75" s="60" t="s">
        <v>430</v>
      </c>
      <c r="D75" s="60"/>
      <c r="E75" s="24" t="s">
        <v>186</v>
      </c>
      <c r="F75" s="24" t="s">
        <v>54</v>
      </c>
      <c r="G75" s="60" t="s">
        <v>743</v>
      </c>
    </row>
    <row r="76" spans="1:7" x14ac:dyDescent="0.3">
      <c r="A76" s="60" t="s">
        <v>252</v>
      </c>
      <c r="B76" s="60" t="s">
        <v>253</v>
      </c>
      <c r="C76" s="60" t="s">
        <v>430</v>
      </c>
      <c r="D76" s="60"/>
      <c r="E76" s="24" t="s">
        <v>186</v>
      </c>
      <c r="F76" s="24" t="s">
        <v>54</v>
      </c>
      <c r="G76" s="60" t="s">
        <v>740</v>
      </c>
    </row>
    <row r="77" spans="1:7" x14ac:dyDescent="0.3">
      <c r="A77" s="60" t="s">
        <v>254</v>
      </c>
      <c r="B77" s="60" t="s">
        <v>255</v>
      </c>
      <c r="C77" s="60" t="s">
        <v>430</v>
      </c>
      <c r="D77" s="60" t="s">
        <v>256</v>
      </c>
      <c r="E77" s="24" t="s">
        <v>186</v>
      </c>
      <c r="F77" s="24" t="s">
        <v>54</v>
      </c>
      <c r="G77" s="60" t="s">
        <v>740</v>
      </c>
    </row>
    <row r="78" spans="1:7" x14ac:dyDescent="0.3">
      <c r="A78" s="60" t="s">
        <v>259</v>
      </c>
      <c r="B78" s="60" t="s">
        <v>447</v>
      </c>
      <c r="C78" s="60" t="s">
        <v>430</v>
      </c>
      <c r="D78" s="60" t="s">
        <v>445</v>
      </c>
      <c r="E78" s="24" t="s">
        <v>186</v>
      </c>
      <c r="F78" s="24" t="s">
        <v>54</v>
      </c>
      <c r="G78" s="60" t="s">
        <v>743</v>
      </c>
    </row>
    <row r="79" spans="1:7" x14ac:dyDescent="0.3">
      <c r="A79" s="60" t="s">
        <v>2</v>
      </c>
      <c r="B79" s="60" t="s">
        <v>294</v>
      </c>
      <c r="C79" s="60" t="s">
        <v>430</v>
      </c>
      <c r="D79" s="60"/>
      <c r="E79" s="24" t="s">
        <v>186</v>
      </c>
      <c r="F79" s="24" t="s">
        <v>54</v>
      </c>
      <c r="G79" s="60" t="s">
        <v>743</v>
      </c>
    </row>
    <row r="80" spans="1:7" x14ac:dyDescent="0.3">
      <c r="A80" s="60" t="s">
        <v>403</v>
      </c>
      <c r="B80" s="60" t="s">
        <v>409</v>
      </c>
      <c r="C80" s="60" t="s">
        <v>240</v>
      </c>
      <c r="D80" s="60" t="s">
        <v>410</v>
      </c>
      <c r="E80" s="24" t="s">
        <v>186</v>
      </c>
      <c r="F80" s="24" t="s">
        <v>54</v>
      </c>
      <c r="G80" s="60" t="s">
        <v>741</v>
      </c>
    </row>
    <row r="81" spans="1:7" x14ac:dyDescent="0.3">
      <c r="A81" s="61" t="s">
        <v>427</v>
      </c>
      <c r="B81" s="24" t="s">
        <v>428</v>
      </c>
      <c r="C81" s="60" t="s">
        <v>430</v>
      </c>
      <c r="D81" s="30"/>
      <c r="E81" s="24" t="s">
        <v>186</v>
      </c>
      <c r="F81" s="24" t="s">
        <v>54</v>
      </c>
      <c r="G81" s="60" t="s">
        <v>204</v>
      </c>
    </row>
    <row r="82" spans="1:7" x14ac:dyDescent="0.3">
      <c r="A82" s="30" t="s">
        <v>737</v>
      </c>
      <c r="B82" s="24" t="s">
        <v>738</v>
      </c>
      <c r="C82" s="30" t="s">
        <v>739</v>
      </c>
      <c r="D82" s="30"/>
      <c r="E82" s="24" t="s">
        <v>186</v>
      </c>
      <c r="F82" s="24" t="s">
        <v>54</v>
      </c>
      <c r="G82" s="60" t="s">
        <v>204</v>
      </c>
    </row>
  </sheetData>
  <autoFilter ref="A1:G81">
    <sortState ref="A8:G79">
      <sortCondition ref="G1:G79"/>
    </sortState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zoomScaleNormal="100" workbookViewId="0">
      <pane ySplit="1" topLeftCell="A8" activePane="bottomLeft" state="frozen"/>
      <selection pane="bottomLeft" activeCell="G15" sqref="G15"/>
    </sheetView>
  </sheetViews>
  <sheetFormatPr defaultRowHeight="13.8" x14ac:dyDescent="0.25"/>
  <cols>
    <col min="1" max="1" width="7.21875" customWidth="1"/>
    <col min="2" max="2" width="12.6640625" bestFit="1" customWidth="1"/>
    <col min="3" max="3" width="6.33203125" style="65" customWidth="1"/>
    <col min="4" max="4" width="36.88671875" style="7" customWidth="1"/>
    <col min="5" max="5" width="9.88671875" style="65" bestFit="1" customWidth="1"/>
    <col min="6" max="6" width="51.88671875" style="7" customWidth="1"/>
    <col min="7" max="7" width="49.33203125" style="7" customWidth="1"/>
    <col min="8" max="8" width="52.88671875" style="7" customWidth="1"/>
  </cols>
  <sheetData>
    <row r="1" spans="1:8" s="18" customFormat="1" ht="30" customHeight="1" x14ac:dyDescent="0.4">
      <c r="A1" s="79" t="s">
        <v>12</v>
      </c>
      <c r="B1" s="79" t="s">
        <v>357</v>
      </c>
      <c r="C1" s="79" t="s">
        <v>61</v>
      </c>
      <c r="D1" s="79" t="s">
        <v>154</v>
      </c>
      <c r="E1" s="79" t="s">
        <v>521</v>
      </c>
      <c r="F1" s="79" t="s">
        <v>356</v>
      </c>
      <c r="G1" s="79" t="s">
        <v>358</v>
      </c>
      <c r="H1" s="79" t="s">
        <v>16</v>
      </c>
    </row>
    <row r="2" spans="1:8" ht="30" customHeight="1" x14ac:dyDescent="0.25">
      <c r="A2" s="76">
        <f t="shared" ref="A2:A10" si="0">ROW()-1</f>
        <v>1</v>
      </c>
      <c r="B2" s="76" t="s">
        <v>562</v>
      </c>
      <c r="C2" s="76" t="s">
        <v>517</v>
      </c>
      <c r="D2" s="81" t="s">
        <v>157</v>
      </c>
      <c r="E2" s="76" t="s">
        <v>522</v>
      </c>
      <c r="F2" s="81" t="s">
        <v>760</v>
      </c>
      <c r="G2" s="81" t="s">
        <v>771</v>
      </c>
      <c r="H2" s="81" t="s">
        <v>365</v>
      </c>
    </row>
    <row r="3" spans="1:8" ht="30" customHeight="1" x14ac:dyDescent="0.25">
      <c r="A3" s="76">
        <f t="shared" si="0"/>
        <v>2</v>
      </c>
      <c r="B3" s="76" t="s">
        <v>632</v>
      </c>
      <c r="C3" s="76" t="s">
        <v>518</v>
      </c>
      <c r="D3" s="81" t="s">
        <v>158</v>
      </c>
      <c r="E3" s="76" t="s">
        <v>522</v>
      </c>
      <c r="F3" s="81" t="s">
        <v>770</v>
      </c>
      <c r="G3" s="81" t="s">
        <v>211</v>
      </c>
      <c r="H3" s="81" t="s">
        <v>567</v>
      </c>
    </row>
    <row r="4" spans="1:8" ht="30" customHeight="1" x14ac:dyDescent="0.25">
      <c r="A4" s="76">
        <f t="shared" si="0"/>
        <v>3</v>
      </c>
      <c r="B4" s="76" t="s">
        <v>633</v>
      </c>
      <c r="C4" s="76" t="s">
        <v>518</v>
      </c>
      <c r="D4" s="81" t="s">
        <v>159</v>
      </c>
      <c r="E4" s="76" t="s">
        <v>522</v>
      </c>
      <c r="F4" s="81" t="s">
        <v>770</v>
      </c>
      <c r="G4" s="81" t="s">
        <v>211</v>
      </c>
      <c r="H4" s="81" t="s">
        <v>622</v>
      </c>
    </row>
    <row r="5" spans="1:8" ht="30" customHeight="1" x14ac:dyDescent="0.25">
      <c r="A5" s="76">
        <f t="shared" si="0"/>
        <v>4</v>
      </c>
      <c r="B5" s="76" t="s">
        <v>634</v>
      </c>
      <c r="C5" s="76" t="s">
        <v>518</v>
      </c>
      <c r="D5" s="81" t="s">
        <v>369</v>
      </c>
      <c r="E5" s="76" t="s">
        <v>522</v>
      </c>
      <c r="F5" s="81" t="s">
        <v>770</v>
      </c>
      <c r="G5" s="81" t="s">
        <v>211</v>
      </c>
      <c r="H5" s="81" t="s">
        <v>623</v>
      </c>
    </row>
    <row r="6" spans="1:8" ht="30" customHeight="1" x14ac:dyDescent="0.25">
      <c r="A6" s="76">
        <f t="shared" si="0"/>
        <v>5</v>
      </c>
      <c r="B6" s="76" t="s">
        <v>769</v>
      </c>
      <c r="C6" s="76" t="s">
        <v>518</v>
      </c>
      <c r="D6" s="81" t="s">
        <v>370</v>
      </c>
      <c r="E6" s="76" t="s">
        <v>522</v>
      </c>
      <c r="F6" s="81" t="s">
        <v>770</v>
      </c>
      <c r="G6" s="81" t="s">
        <v>211</v>
      </c>
      <c r="H6" s="81" t="s">
        <v>644</v>
      </c>
    </row>
    <row r="7" spans="1:8" ht="30" customHeight="1" x14ac:dyDescent="0.25">
      <c r="A7" s="76">
        <f t="shared" si="0"/>
        <v>6</v>
      </c>
      <c r="B7" s="76" t="s">
        <v>635</v>
      </c>
      <c r="C7" s="76" t="s">
        <v>518</v>
      </c>
      <c r="D7" s="81" t="s">
        <v>160</v>
      </c>
      <c r="E7" s="76" t="s">
        <v>522</v>
      </c>
      <c r="F7" s="81" t="s">
        <v>770</v>
      </c>
      <c r="G7" s="81" t="s">
        <v>211</v>
      </c>
      <c r="H7" s="81" t="s">
        <v>568</v>
      </c>
    </row>
    <row r="8" spans="1:8" ht="30" customHeight="1" x14ac:dyDescent="0.25">
      <c r="A8" s="76">
        <f t="shared" si="0"/>
        <v>7</v>
      </c>
      <c r="B8" s="76" t="s">
        <v>636</v>
      </c>
      <c r="C8" s="76" t="s">
        <v>518</v>
      </c>
      <c r="D8" s="81" t="s">
        <v>161</v>
      </c>
      <c r="E8" s="76" t="s">
        <v>522</v>
      </c>
      <c r="F8" s="81" t="s">
        <v>770</v>
      </c>
      <c r="G8" s="81" t="s">
        <v>211</v>
      </c>
      <c r="H8" s="81" t="s">
        <v>624</v>
      </c>
    </row>
    <row r="9" spans="1:8" ht="30" customHeight="1" x14ac:dyDescent="0.25">
      <c r="A9" s="76">
        <f t="shared" si="0"/>
        <v>8</v>
      </c>
      <c r="B9" s="76" t="s">
        <v>563</v>
      </c>
      <c r="C9" s="76" t="s">
        <v>517</v>
      </c>
      <c r="D9" s="81" t="s">
        <v>364</v>
      </c>
      <c r="E9" s="76" t="s">
        <v>522</v>
      </c>
      <c r="F9" s="81" t="s">
        <v>762</v>
      </c>
      <c r="G9" s="81" t="s">
        <v>455</v>
      </c>
    </row>
    <row r="10" spans="1:8" ht="30" customHeight="1" x14ac:dyDescent="0.25">
      <c r="A10" s="76">
        <f t="shared" si="0"/>
        <v>9</v>
      </c>
      <c r="B10" s="76" t="s">
        <v>748</v>
      </c>
      <c r="C10" s="76" t="s">
        <v>517</v>
      </c>
      <c r="D10" s="81" t="s">
        <v>507</v>
      </c>
      <c r="E10" s="76" t="s">
        <v>523</v>
      </c>
      <c r="F10" s="81" t="s">
        <v>761</v>
      </c>
      <c r="G10" s="81" t="s">
        <v>455</v>
      </c>
      <c r="H10" s="81" t="s">
        <v>344</v>
      </c>
    </row>
    <row r="11" spans="1:8" s="75" customFormat="1" ht="30" customHeight="1" x14ac:dyDescent="0.25">
      <c r="A11" s="76">
        <v>19</v>
      </c>
      <c r="B11" s="76" t="s">
        <v>749</v>
      </c>
      <c r="C11" s="76" t="s">
        <v>517</v>
      </c>
      <c r="D11" s="81" t="s">
        <v>744</v>
      </c>
      <c r="E11" s="76" t="s">
        <v>522</v>
      </c>
      <c r="F11" s="81" t="s">
        <v>763</v>
      </c>
      <c r="G11" s="81" t="s">
        <v>755</v>
      </c>
      <c r="H11" s="81" t="s">
        <v>732</v>
      </c>
    </row>
    <row r="12" spans="1:8" ht="30" customHeight="1" x14ac:dyDescent="0.25">
      <c r="A12" s="76">
        <f t="shared" ref="A12:A20" si="1">ROW()-1</f>
        <v>11</v>
      </c>
      <c r="B12" s="76" t="s">
        <v>564</v>
      </c>
      <c r="C12" s="76" t="s">
        <v>517</v>
      </c>
      <c r="D12" s="81" t="s">
        <v>155</v>
      </c>
      <c r="E12" s="76" t="s">
        <v>522</v>
      </c>
      <c r="F12" s="81" t="s">
        <v>759</v>
      </c>
      <c r="G12" s="81" t="s">
        <v>455</v>
      </c>
      <c r="H12" s="81" t="s">
        <v>344</v>
      </c>
    </row>
    <row r="13" spans="1:8" ht="30" customHeight="1" x14ac:dyDescent="0.25">
      <c r="A13" s="76">
        <f t="shared" si="1"/>
        <v>12</v>
      </c>
      <c r="B13" s="76" t="s">
        <v>639</v>
      </c>
      <c r="C13" s="76" t="s">
        <v>518</v>
      </c>
      <c r="D13" s="81" t="s">
        <v>510</v>
      </c>
      <c r="E13" s="76" t="s">
        <v>523</v>
      </c>
      <c r="F13" s="81" t="s">
        <v>763</v>
      </c>
      <c r="G13" s="81"/>
      <c r="H13" s="81" t="s">
        <v>768</v>
      </c>
    </row>
    <row r="14" spans="1:8" ht="30" customHeight="1" x14ac:dyDescent="0.25">
      <c r="A14" s="76">
        <f t="shared" si="1"/>
        <v>13</v>
      </c>
      <c r="B14" s="76" t="s">
        <v>565</v>
      </c>
      <c r="C14" s="76" t="s">
        <v>517</v>
      </c>
      <c r="D14" s="81" t="s">
        <v>72</v>
      </c>
      <c r="E14" s="80" t="s">
        <v>524</v>
      </c>
      <c r="F14" s="81" t="s">
        <v>761</v>
      </c>
      <c r="G14" s="81" t="s">
        <v>455</v>
      </c>
      <c r="H14" s="81" t="s">
        <v>772</v>
      </c>
    </row>
    <row r="15" spans="1:8" ht="30" customHeight="1" x14ac:dyDescent="0.25">
      <c r="A15" s="76">
        <f t="shared" si="1"/>
        <v>14</v>
      </c>
      <c r="B15" s="76" t="s">
        <v>637</v>
      </c>
      <c r="C15" s="76" t="s">
        <v>518</v>
      </c>
      <c r="D15" s="81" t="s">
        <v>765</v>
      </c>
      <c r="E15" s="76" t="s">
        <v>523</v>
      </c>
      <c r="F15" s="81" t="s">
        <v>763</v>
      </c>
      <c r="G15" s="81"/>
      <c r="H15" s="81" t="s">
        <v>592</v>
      </c>
    </row>
    <row r="16" spans="1:8" ht="30" customHeight="1" x14ac:dyDescent="0.25">
      <c r="A16" s="76">
        <f t="shared" si="1"/>
        <v>15</v>
      </c>
      <c r="B16" s="76" t="s">
        <v>566</v>
      </c>
      <c r="C16" s="76" t="s">
        <v>517</v>
      </c>
      <c r="D16" s="81" t="s">
        <v>458</v>
      </c>
      <c r="E16" s="76" t="s">
        <v>522</v>
      </c>
      <c r="F16" s="81" t="s">
        <v>761</v>
      </c>
      <c r="G16" s="81" t="s">
        <v>621</v>
      </c>
      <c r="H16" s="81" t="s">
        <v>773</v>
      </c>
    </row>
    <row r="17" spans="1:8" ht="30" customHeight="1" x14ac:dyDescent="0.25">
      <c r="A17" s="76">
        <f t="shared" si="1"/>
        <v>16</v>
      </c>
      <c r="B17" s="76" t="s">
        <v>638</v>
      </c>
      <c r="C17" s="76" t="s">
        <v>518</v>
      </c>
      <c r="D17" s="81" t="s">
        <v>156</v>
      </c>
      <c r="E17" s="76" t="s">
        <v>522</v>
      </c>
      <c r="F17" s="81" t="s">
        <v>763</v>
      </c>
      <c r="G17" s="81"/>
      <c r="H17" s="81" t="s">
        <v>774</v>
      </c>
    </row>
    <row r="18" spans="1:8" ht="30" customHeight="1" x14ac:dyDescent="0.25">
      <c r="A18" s="76">
        <f t="shared" si="1"/>
        <v>17</v>
      </c>
      <c r="B18" s="76" t="s">
        <v>745</v>
      </c>
      <c r="C18" s="76" t="s">
        <v>517</v>
      </c>
      <c r="D18" s="81" t="s">
        <v>764</v>
      </c>
      <c r="E18" s="76" t="s">
        <v>522</v>
      </c>
      <c r="F18" s="81" t="s">
        <v>761</v>
      </c>
      <c r="G18" s="81" t="s">
        <v>455</v>
      </c>
      <c r="H18" s="81" t="s">
        <v>766</v>
      </c>
    </row>
    <row r="19" spans="1:8" ht="30" customHeight="1" x14ac:dyDescent="0.25">
      <c r="A19" s="76">
        <f t="shared" si="1"/>
        <v>18</v>
      </c>
      <c r="B19" s="76" t="s">
        <v>746</v>
      </c>
      <c r="C19" s="76" t="s">
        <v>517</v>
      </c>
      <c r="D19" s="81" t="s">
        <v>508</v>
      </c>
      <c r="E19" s="76" t="s">
        <v>522</v>
      </c>
      <c r="F19" s="81" t="s">
        <v>761</v>
      </c>
      <c r="G19" s="81" t="s">
        <v>455</v>
      </c>
      <c r="H19" s="81" t="s">
        <v>767</v>
      </c>
    </row>
    <row r="20" spans="1:8" ht="30" customHeight="1" x14ac:dyDescent="0.25">
      <c r="A20" s="76">
        <f t="shared" si="1"/>
        <v>19</v>
      </c>
      <c r="B20" s="76" t="s">
        <v>747</v>
      </c>
      <c r="C20" s="76" t="s">
        <v>517</v>
      </c>
      <c r="D20" s="81" t="s">
        <v>506</v>
      </c>
      <c r="E20" s="76" t="s">
        <v>522</v>
      </c>
      <c r="F20" s="81" t="s">
        <v>761</v>
      </c>
      <c r="G20" s="81" t="s">
        <v>359</v>
      </c>
      <c r="H20" s="81" t="s">
        <v>727</v>
      </c>
    </row>
  </sheetData>
  <autoFilter ref="A1:H20">
    <sortState ref="A2:H20">
      <sortCondition ref="B1:B20"/>
    </sortState>
  </autoFilter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F1" sqref="F1"/>
    </sheetView>
  </sheetViews>
  <sheetFormatPr defaultRowHeight="15.6" x14ac:dyDescent="0.35"/>
  <cols>
    <col min="1" max="1" width="9.33203125" style="10" customWidth="1"/>
    <col min="2" max="2" width="14.33203125" style="10" bestFit="1" customWidth="1"/>
    <col min="3" max="3" width="21.5546875" style="10" customWidth="1"/>
    <col min="4" max="4" width="11.6640625" style="10" bestFit="1" customWidth="1"/>
    <col min="5" max="5" width="14.33203125" style="10" customWidth="1"/>
    <col min="6" max="6" width="16.21875" style="10" customWidth="1"/>
    <col min="7" max="7" width="9.5546875" style="10" customWidth="1"/>
    <col min="8" max="8" width="44.6640625" style="10" customWidth="1"/>
    <col min="9" max="9" width="25.77734375" style="10" customWidth="1"/>
    <col min="10" max="16384" width="8.88671875" style="10"/>
  </cols>
  <sheetData>
    <row r="1" spans="1:9" s="18" customFormat="1" ht="26.4" customHeight="1" x14ac:dyDescent="0.4">
      <c r="A1" s="21" t="s">
        <v>202</v>
      </c>
      <c r="B1" s="21" t="s">
        <v>203</v>
      </c>
      <c r="C1" s="21" t="s">
        <v>182</v>
      </c>
      <c r="D1" s="21" t="s">
        <v>209</v>
      </c>
      <c r="E1" s="21" t="s">
        <v>183</v>
      </c>
      <c r="F1" s="21" t="s">
        <v>200</v>
      </c>
      <c r="G1" s="21" t="s">
        <v>184</v>
      </c>
      <c r="H1" s="21" t="s">
        <v>185</v>
      </c>
      <c r="I1" s="21" t="s">
        <v>16</v>
      </c>
    </row>
    <row r="2" spans="1:9" ht="30" customHeight="1" x14ac:dyDescent="0.35">
      <c r="A2" s="82" t="s">
        <v>619</v>
      </c>
      <c r="B2" s="82" t="s">
        <v>625</v>
      </c>
      <c r="C2" s="15" t="s">
        <v>354</v>
      </c>
      <c r="D2" s="15" t="s">
        <v>186</v>
      </c>
      <c r="E2" s="15" t="s">
        <v>212</v>
      </c>
      <c r="F2" s="15" t="s">
        <v>188</v>
      </c>
      <c r="G2" s="15" t="s">
        <v>187</v>
      </c>
      <c r="H2" s="15" t="s">
        <v>207</v>
      </c>
      <c r="I2" s="11"/>
    </row>
    <row r="3" spans="1:9" ht="30" customHeight="1" x14ac:dyDescent="0.35">
      <c r="A3" s="15" t="s">
        <v>626</v>
      </c>
      <c r="B3" s="15" t="s">
        <v>629</v>
      </c>
      <c r="C3" s="15" t="s">
        <v>355</v>
      </c>
      <c r="D3" s="15" t="s">
        <v>210</v>
      </c>
      <c r="E3" s="15" t="s">
        <v>186</v>
      </c>
      <c r="F3" s="15" t="s">
        <v>187</v>
      </c>
      <c r="G3" s="15" t="s">
        <v>187</v>
      </c>
      <c r="H3" s="15" t="s">
        <v>199</v>
      </c>
      <c r="I3" s="11"/>
    </row>
    <row r="4" spans="1:9" ht="30" customHeight="1" x14ac:dyDescent="0.35">
      <c r="A4" s="15" t="s">
        <v>627</v>
      </c>
      <c r="B4" s="15" t="s">
        <v>630</v>
      </c>
      <c r="C4" s="15" t="s">
        <v>189</v>
      </c>
      <c r="D4" s="15" t="s">
        <v>186</v>
      </c>
      <c r="E4" s="15" t="s">
        <v>186</v>
      </c>
      <c r="F4" s="15" t="s">
        <v>190</v>
      </c>
      <c r="G4" s="15" t="s">
        <v>187</v>
      </c>
      <c r="H4" s="15" t="s">
        <v>208</v>
      </c>
      <c r="I4" s="11"/>
    </row>
    <row r="5" spans="1:9" ht="30" customHeight="1" x14ac:dyDescent="0.35">
      <c r="A5" s="15" t="s">
        <v>628</v>
      </c>
      <c r="B5" s="15" t="s">
        <v>631</v>
      </c>
      <c r="C5" s="15" t="s">
        <v>201</v>
      </c>
      <c r="D5" s="15" t="s">
        <v>186</v>
      </c>
      <c r="E5" s="15" t="s">
        <v>198</v>
      </c>
      <c r="F5" s="15" t="s">
        <v>190</v>
      </c>
      <c r="G5" s="15" t="s">
        <v>187</v>
      </c>
      <c r="H5" s="15" t="s">
        <v>208</v>
      </c>
      <c r="I5" s="11"/>
    </row>
    <row r="6" spans="1:9" ht="30" customHeight="1" x14ac:dyDescent="0.35">
      <c r="A6" s="15" t="s">
        <v>204</v>
      </c>
      <c r="B6" s="15" t="s">
        <v>191</v>
      </c>
      <c r="C6" s="15" t="s">
        <v>192</v>
      </c>
      <c r="D6" s="15" t="s">
        <v>186</v>
      </c>
      <c r="E6" s="15" t="s">
        <v>186</v>
      </c>
      <c r="F6" s="15" t="s">
        <v>190</v>
      </c>
      <c r="G6" s="15" t="s">
        <v>187</v>
      </c>
      <c r="H6" s="15" t="s">
        <v>351</v>
      </c>
      <c r="I6" s="15" t="s">
        <v>350</v>
      </c>
    </row>
    <row r="7" spans="1:9" ht="30" customHeight="1" x14ac:dyDescent="0.35">
      <c r="A7" s="15" t="s">
        <v>205</v>
      </c>
      <c r="B7" s="15" t="s">
        <v>193</v>
      </c>
      <c r="C7" s="15" t="s">
        <v>194</v>
      </c>
      <c r="D7" s="15" t="s">
        <v>186</v>
      </c>
      <c r="E7" s="15" t="s">
        <v>186</v>
      </c>
      <c r="F7" s="15" t="s">
        <v>190</v>
      </c>
      <c r="G7" s="15" t="s">
        <v>187</v>
      </c>
      <c r="H7" s="15" t="s">
        <v>352</v>
      </c>
      <c r="I7" s="15" t="s">
        <v>350</v>
      </c>
    </row>
    <row r="8" spans="1:9" ht="30" customHeight="1" x14ac:dyDescent="0.35">
      <c r="A8" s="15" t="s">
        <v>206</v>
      </c>
      <c r="B8" s="15" t="s">
        <v>195</v>
      </c>
      <c r="C8" s="15" t="s">
        <v>196</v>
      </c>
      <c r="D8" s="15" t="s">
        <v>186</v>
      </c>
      <c r="E8" s="15" t="s">
        <v>186</v>
      </c>
      <c r="F8" s="15" t="s">
        <v>190</v>
      </c>
      <c r="G8" s="15" t="s">
        <v>187</v>
      </c>
      <c r="H8" s="15" t="s">
        <v>197</v>
      </c>
      <c r="I8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opLeftCell="A19" zoomScale="85" zoomScaleNormal="85" workbookViewId="0">
      <selection activeCell="U48" sqref="U48"/>
    </sheetView>
  </sheetViews>
  <sheetFormatPr defaultRowHeight="13.8" x14ac:dyDescent="0.25"/>
  <sheetData/>
  <phoneticPr fontId="3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10242" r:id="rId4">
          <objectPr defaultSize="0" r:id="rId5">
            <anchor moveWithCells="1">
              <from>
                <xdr:col>1</xdr:col>
                <xdr:colOff>175260</xdr:colOff>
                <xdr:row>0</xdr:row>
                <xdr:rowOff>152400</xdr:rowOff>
              </from>
              <to>
                <xdr:col>12</xdr:col>
                <xdr:colOff>228600</xdr:colOff>
                <xdr:row>57</xdr:row>
                <xdr:rowOff>15240</xdr:rowOff>
              </to>
            </anchor>
          </objectPr>
        </oleObject>
      </mc:Choice>
      <mc:Fallback>
        <oleObject progId="Visio.Drawing.15" shapeId="10242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opLeftCell="B1" zoomScale="85" zoomScaleNormal="85" workbookViewId="0">
      <selection activeCell="V29" sqref="V29"/>
    </sheetView>
  </sheetViews>
  <sheetFormatPr defaultRowHeight="13.8" x14ac:dyDescent="0.25"/>
  <sheetData/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25602" r:id="rId3">
          <objectPr defaultSize="0" r:id="rId4">
            <anchor moveWithCells="1">
              <from>
                <xdr:col>1</xdr:col>
                <xdr:colOff>358140</xdr:colOff>
                <xdr:row>1</xdr:row>
                <xdr:rowOff>30480</xdr:rowOff>
              </from>
              <to>
                <xdr:col>20</xdr:col>
                <xdr:colOff>30480</xdr:colOff>
                <xdr:row>37</xdr:row>
                <xdr:rowOff>129540</xdr:rowOff>
              </to>
            </anchor>
          </objectPr>
        </oleObject>
      </mc:Choice>
      <mc:Fallback>
        <oleObject progId="Visio.Drawing.15" shapeId="25602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Normal="100" zoomScaleSheetLayoutView="100" workbookViewId="0">
      <selection activeCell="B1" sqref="B1:C1"/>
    </sheetView>
  </sheetViews>
  <sheetFormatPr defaultRowHeight="15.6" x14ac:dyDescent="0.35"/>
  <cols>
    <col min="1" max="1" width="4.88671875" style="10" bestFit="1" customWidth="1"/>
    <col min="2" max="2" width="17.21875" style="12" bestFit="1" customWidth="1"/>
    <col min="3" max="3" width="19.33203125" style="12" customWidth="1"/>
    <col min="4" max="4" width="71.44140625" style="20" customWidth="1"/>
    <col min="5" max="5" width="9.77734375" style="10" bestFit="1" customWidth="1"/>
    <col min="6" max="9" width="8.21875" style="10" bestFit="1" customWidth="1"/>
    <col min="10" max="10" width="19" style="10" customWidth="1"/>
    <col min="11" max="16384" width="8.88671875" style="10"/>
  </cols>
  <sheetData>
    <row r="1" spans="1:10" s="39" customFormat="1" ht="23.4" customHeight="1" x14ac:dyDescent="0.25">
      <c r="A1" s="38" t="s">
        <v>12</v>
      </c>
      <c r="B1" s="38" t="s">
        <v>215</v>
      </c>
      <c r="C1" s="33" t="s">
        <v>396</v>
      </c>
      <c r="D1" s="38" t="s">
        <v>13</v>
      </c>
      <c r="E1" s="38" t="s">
        <v>58</v>
      </c>
      <c r="F1" s="38" t="s">
        <v>211</v>
      </c>
      <c r="G1" s="38" t="s">
        <v>213</v>
      </c>
      <c r="H1" s="38" t="s">
        <v>55</v>
      </c>
      <c r="I1" s="38" t="s">
        <v>360</v>
      </c>
      <c r="J1" s="38" t="s">
        <v>16</v>
      </c>
    </row>
    <row r="2" spans="1:10" ht="26.4" x14ac:dyDescent="0.35">
      <c r="A2" s="22">
        <f>ROW()-1</f>
        <v>1</v>
      </c>
      <c r="B2" s="23" t="s">
        <v>51</v>
      </c>
      <c r="C2" s="23" t="str">
        <f>VLOOKUP(B2,字段列表!A:D,2,0)</f>
        <v>configCode</v>
      </c>
      <c r="D2" s="23" t="s">
        <v>383</v>
      </c>
      <c r="E2" s="24" t="str">
        <f>VLOOKUP(B2,字段列表!A:D,3,0)</f>
        <v>VARCHAR</v>
      </c>
      <c r="F2" s="24" t="str">
        <f>VLOOKUP($C2,字段列表!$B:$F,4,0)</f>
        <v>Y</v>
      </c>
      <c r="G2" s="24" t="str">
        <f>VLOOKUP($C2,字段列表!$B:$F,5,0)</f>
        <v>Y</v>
      </c>
      <c r="H2" s="24" t="str">
        <f>VLOOKUP(C2,字段列表!B:G,6,0)</f>
        <v>TXT-1</v>
      </c>
      <c r="I2" s="24" t="s">
        <v>344</v>
      </c>
      <c r="J2" s="24"/>
    </row>
    <row r="3" spans="1:10" x14ac:dyDescent="0.35">
      <c r="A3" s="22">
        <f t="shared" ref="A3:A15" si="0">ROW()-1</f>
        <v>2</v>
      </c>
      <c r="B3" s="23" t="s">
        <v>52</v>
      </c>
      <c r="C3" s="23" t="str">
        <f>VLOOKUP(B3,字段列表!A:D,2,0)</f>
        <v>configDesc</v>
      </c>
      <c r="D3" s="23" t="s">
        <v>57</v>
      </c>
      <c r="E3" s="24" t="str">
        <f>VLOOKUP(B3,字段列表!A:D,3,0)</f>
        <v>VARCHAR</v>
      </c>
      <c r="F3" s="24" t="str">
        <f>VLOOKUP(C3,字段列表!B:F,4,0)</f>
        <v>-</v>
      </c>
      <c r="G3" s="24" t="str">
        <f>VLOOKUP($C3,字段列表!$B:$F,5,0)</f>
        <v>Y</v>
      </c>
      <c r="H3" s="24" t="str">
        <f>VLOOKUP(C3,字段列表!B:G,6,0)</f>
        <v>TXT-2</v>
      </c>
      <c r="I3" s="24" t="s">
        <v>54</v>
      </c>
      <c r="J3" s="24"/>
    </row>
    <row r="4" spans="1:10" ht="26.4" x14ac:dyDescent="0.35">
      <c r="A4" s="22">
        <f t="shared" si="0"/>
        <v>3</v>
      </c>
      <c r="B4" s="23" t="s">
        <v>53</v>
      </c>
      <c r="C4" s="23" t="str">
        <f>VLOOKUP(B4,字段列表!A:D,2,0)</f>
        <v>orgName</v>
      </c>
      <c r="D4" s="83" t="s">
        <v>640</v>
      </c>
      <c r="E4" s="24" t="str">
        <f>VLOOKUP(B4,字段列表!A:D,3,0)</f>
        <v>VARCHAR</v>
      </c>
      <c r="F4" s="24" t="str">
        <f>VLOOKUP(C4,字段列表!B:F,4,0)</f>
        <v>Y</v>
      </c>
      <c r="G4" s="24" t="str">
        <f>VLOOKUP($C4,字段列表!$B:$F,5,0)</f>
        <v>Y</v>
      </c>
      <c r="H4" s="24" t="str">
        <f>VLOOKUP(C4,字段列表!B:G,6,0)</f>
        <v>SEL-1</v>
      </c>
      <c r="I4" s="24" t="s">
        <v>54</v>
      </c>
      <c r="J4" s="24"/>
    </row>
    <row r="5" spans="1:10" ht="39.6" x14ac:dyDescent="0.35">
      <c r="A5" s="22">
        <f t="shared" si="0"/>
        <v>4</v>
      </c>
      <c r="B5" s="23" t="s">
        <v>56</v>
      </c>
      <c r="C5" s="23" t="str">
        <f>VLOOKUP(B5,字段列表!A:D,2,0)</f>
        <v>categoryCode</v>
      </c>
      <c r="D5" s="23" t="s">
        <v>643</v>
      </c>
      <c r="E5" s="24" t="str">
        <f>VLOOKUP(B5,字段列表!A:D,3,0)</f>
        <v>VARCHAR</v>
      </c>
      <c r="F5" s="24" t="str">
        <f>VLOOKUP(C5,字段列表!B:F,4,0)</f>
        <v>-</v>
      </c>
      <c r="G5" s="24" t="str">
        <f>VLOOKUP($C5,字段列表!$B:$F,5,0)</f>
        <v>Y</v>
      </c>
      <c r="H5" s="24" t="str">
        <f>VLOOKUP(C5,字段列表!B:G,6,0)</f>
        <v>SEL-2</v>
      </c>
      <c r="I5" s="24" t="s">
        <v>54</v>
      </c>
      <c r="J5" s="24"/>
    </row>
    <row r="6" spans="1:10" ht="52.8" x14ac:dyDescent="0.35">
      <c r="A6" s="22">
        <f t="shared" si="0"/>
        <v>5</v>
      </c>
      <c r="B6" s="23" t="s">
        <v>371</v>
      </c>
      <c r="C6" s="23" t="str">
        <f>VLOOKUP(B6,字段列表!A:D,2,0)</f>
        <v>calcSubInvNetValueName</v>
      </c>
      <c r="D6" s="23" t="s">
        <v>645</v>
      </c>
      <c r="E6" s="24" t="str">
        <f>VLOOKUP(B6,字段列表!A:D,3,0)</f>
        <v>VARCHAR</v>
      </c>
      <c r="F6" s="24" t="str">
        <f>VLOOKUP(C6,字段列表!B:F,4,0)</f>
        <v>-</v>
      </c>
      <c r="G6" s="24" t="str">
        <f>VLOOKUP($C6,字段列表!$B:$F,5,0)</f>
        <v>Y</v>
      </c>
      <c r="H6" s="24" t="str">
        <f>VLOOKUP(C6,字段列表!B:G,6,0)</f>
        <v>SEL-2</v>
      </c>
      <c r="I6" s="24" t="s">
        <v>54</v>
      </c>
      <c r="J6" s="24"/>
    </row>
    <row r="7" spans="1:10" ht="26.4" x14ac:dyDescent="0.35">
      <c r="A7" s="22">
        <f t="shared" si="0"/>
        <v>6</v>
      </c>
      <c r="B7" s="23" t="s">
        <v>372</v>
      </c>
      <c r="C7" s="23" t="str">
        <f>VLOOKUP(B7,字段列表!A:D,2,0)</f>
        <v>calcSubInvNetValueDesc</v>
      </c>
      <c r="D7" s="23" t="s">
        <v>646</v>
      </c>
      <c r="E7" s="24" t="str">
        <f>VLOOKUP(B7,字段列表!A:D,3,0)</f>
        <v>VARCHAR</v>
      </c>
      <c r="F7" s="24" t="str">
        <f>VLOOKUP(C7,字段列表!B:F,4,0)</f>
        <v>-</v>
      </c>
      <c r="G7" s="24" t="str">
        <f>VLOOKUP($C7,字段列表!$B:$F,5,0)</f>
        <v>-</v>
      </c>
      <c r="H7" s="24" t="str">
        <f>VLOOKUP(C7,字段列表!B:G,6,0)</f>
        <v>-</v>
      </c>
      <c r="I7" s="24" t="s">
        <v>344</v>
      </c>
      <c r="J7" s="24"/>
    </row>
    <row r="8" spans="1:10" ht="52.8" x14ac:dyDescent="0.35">
      <c r="A8" s="22">
        <f t="shared" si="0"/>
        <v>7</v>
      </c>
      <c r="B8" s="23" t="s">
        <v>59</v>
      </c>
      <c r="C8" s="23" t="str">
        <f>VLOOKUP(B8,字段列表!A:D,2,0)</f>
        <v>supplierCode</v>
      </c>
      <c r="D8" s="23" t="s">
        <v>649</v>
      </c>
      <c r="E8" s="24" t="str">
        <f>VLOOKUP(B8,字段列表!A:D,3,0)</f>
        <v>VARCHAR</v>
      </c>
      <c r="F8" s="24" t="str">
        <f>VLOOKUP(C8,字段列表!B:F,4,0)</f>
        <v>-</v>
      </c>
      <c r="G8" s="24" t="str">
        <f>VLOOKUP($C8,字段列表!$B:$F,5,0)</f>
        <v>Y</v>
      </c>
      <c r="H8" s="24" t="str">
        <f>VLOOKUP(C8,字段列表!B:G,6,0)</f>
        <v>SEL-2</v>
      </c>
      <c r="I8" s="24" t="s">
        <v>54</v>
      </c>
      <c r="J8" s="24"/>
    </row>
    <row r="9" spans="1:10" ht="27.6" customHeight="1" x14ac:dyDescent="0.35">
      <c r="A9" s="22">
        <f t="shared" si="0"/>
        <v>8</v>
      </c>
      <c r="B9" s="23" t="s">
        <v>347</v>
      </c>
      <c r="C9" s="23" t="str">
        <f>VLOOKUP(B9,字段列表!A:D,2,0)</f>
        <v>supplierDesc</v>
      </c>
      <c r="D9" s="23" t="s">
        <v>650</v>
      </c>
      <c r="E9" s="24" t="str">
        <f>VLOOKUP(B9,字段列表!A:D,3,0)</f>
        <v>VARCHAR</v>
      </c>
      <c r="F9" s="24" t="str">
        <f>VLOOKUP(C9,字段列表!B:F,4,0)</f>
        <v>-</v>
      </c>
      <c r="G9" s="24" t="str">
        <f>VLOOKUP($C9,字段列表!$B:$F,5,0)</f>
        <v>-</v>
      </c>
      <c r="H9" s="24" t="str">
        <f>VLOOKUP(C9,字段列表!B:G,6,0)</f>
        <v>-</v>
      </c>
      <c r="I9" s="24" t="s">
        <v>344</v>
      </c>
      <c r="J9" s="24"/>
    </row>
    <row r="10" spans="1:10" ht="26.4" x14ac:dyDescent="0.35">
      <c r="A10" s="22">
        <f t="shared" si="0"/>
        <v>9</v>
      </c>
      <c r="B10" s="23" t="s">
        <v>62</v>
      </c>
      <c r="C10" s="23" t="str">
        <f>VLOOKUP(B10,字段列表!A:D,2,0)</f>
        <v>workOrderStatus</v>
      </c>
      <c r="D10" s="23" t="s">
        <v>651</v>
      </c>
      <c r="E10" s="24" t="str">
        <f>VLOOKUP(B10,字段列表!A:D,3,0)</f>
        <v>VARCHAR</v>
      </c>
      <c r="F10" s="24" t="str">
        <f>VLOOKUP(C10,字段列表!B:F,4,0)</f>
        <v>-</v>
      </c>
      <c r="G10" s="24" t="str">
        <f>VLOOKUP($C10,字段列表!$B:$F,5,0)</f>
        <v>Y</v>
      </c>
      <c r="H10" s="24" t="str">
        <f>VLOOKUP(C10,字段列表!B:G,6,0)</f>
        <v>SEL-2</v>
      </c>
      <c r="I10" s="24" t="s">
        <v>54</v>
      </c>
      <c r="J10" s="24"/>
    </row>
    <row r="11" spans="1:10" x14ac:dyDescent="0.35">
      <c r="A11" s="22">
        <f t="shared" si="0"/>
        <v>10</v>
      </c>
      <c r="B11" s="23" t="s">
        <v>63</v>
      </c>
      <c r="C11" s="23" t="str">
        <f>VLOOKUP(B11,字段列表!A:D,2,0)</f>
        <v>createdBy</v>
      </c>
      <c r="D11" s="23" t="s">
        <v>68</v>
      </c>
      <c r="E11" s="24" t="str">
        <f>VLOOKUP(B11,字段列表!A:D,3,0)</f>
        <v>VARCHAR</v>
      </c>
      <c r="F11" s="24" t="str">
        <f>VLOOKUP(C11,字段列表!B:F,4,0)</f>
        <v>-</v>
      </c>
      <c r="G11" s="24" t="str">
        <f>VLOOKUP($C11,字段列表!$B:$F,5,0)</f>
        <v>Y</v>
      </c>
      <c r="H11" s="24" t="str">
        <f>VLOOKUP(C11,字段列表!B:G,6,0)</f>
        <v>TXT-2</v>
      </c>
      <c r="I11" s="24" t="s">
        <v>344</v>
      </c>
      <c r="J11" s="24"/>
    </row>
    <row r="12" spans="1:10" x14ac:dyDescent="0.35">
      <c r="A12" s="22">
        <f t="shared" si="0"/>
        <v>11</v>
      </c>
      <c r="B12" s="23" t="s">
        <v>64</v>
      </c>
      <c r="C12" s="23" t="str">
        <f>VLOOKUP(B12,字段列表!A:D,2,0)</f>
        <v>createDate</v>
      </c>
      <c r="D12" s="23" t="s">
        <v>67</v>
      </c>
      <c r="E12" s="24" t="str">
        <f>VLOOKUP(B12,字段列表!A:D,3,0)</f>
        <v>Date</v>
      </c>
      <c r="F12" s="24" t="str">
        <f>VLOOKUP(C12,字段列表!B:F,4,0)</f>
        <v>-</v>
      </c>
      <c r="G12" s="24" t="str">
        <f>VLOOKUP($C12,字段列表!$B:$F,5,0)</f>
        <v>Y</v>
      </c>
      <c r="H12" s="24" t="str">
        <f>VLOOKUP(C12,字段列表!B:G,6,0)</f>
        <v>DATA</v>
      </c>
      <c r="I12" s="24" t="s">
        <v>344</v>
      </c>
      <c r="J12" s="24"/>
    </row>
    <row r="13" spans="1:10" x14ac:dyDescent="0.35">
      <c r="A13" s="22">
        <f t="shared" si="0"/>
        <v>12</v>
      </c>
      <c r="B13" s="23" t="s">
        <v>511</v>
      </c>
      <c r="C13" s="23" t="str">
        <f>VLOOKUP(B13,字段列表!A:D,2,0)</f>
        <v>updatedBy</v>
      </c>
      <c r="D13" s="23" t="s">
        <v>513</v>
      </c>
      <c r="E13" s="24" t="str">
        <f>VLOOKUP(B13,字段列表!A:D,3,0)</f>
        <v>VARCHAR</v>
      </c>
      <c r="F13" s="24" t="str">
        <f>VLOOKUP(C13,字段列表!B:F,4,0)</f>
        <v>-</v>
      </c>
      <c r="G13" s="24" t="str">
        <f>VLOOKUP($C13,字段列表!$B:$F,5,0)</f>
        <v>Y</v>
      </c>
      <c r="H13" s="24" t="str">
        <f>VLOOKUP(C13,字段列表!B:G,6,0)</f>
        <v>TXT-2</v>
      </c>
      <c r="I13" s="24" t="s">
        <v>344</v>
      </c>
      <c r="J13" s="24"/>
    </row>
    <row r="14" spans="1:10" x14ac:dyDescent="0.35">
      <c r="A14" s="22">
        <f t="shared" si="0"/>
        <v>13</v>
      </c>
      <c r="B14" s="23" t="s">
        <v>512</v>
      </c>
      <c r="C14" s="23" t="str">
        <f>VLOOKUP(B14,字段列表!A:D,2,0)</f>
        <v>updateDate</v>
      </c>
      <c r="D14" s="23" t="s">
        <v>514</v>
      </c>
      <c r="E14" s="24" t="str">
        <f>VLOOKUP(B14,字段列表!A:D,3,0)</f>
        <v>Date</v>
      </c>
      <c r="F14" s="24" t="str">
        <f>VLOOKUP(C14,字段列表!B:F,4,0)</f>
        <v>-</v>
      </c>
      <c r="G14" s="24" t="str">
        <f>VLOOKUP($C14,字段列表!$B:$F,5,0)</f>
        <v>Y</v>
      </c>
      <c r="H14" s="24" t="str">
        <f>VLOOKUP(C14,字段列表!B:G,6,0)</f>
        <v>DATA</v>
      </c>
      <c r="I14" s="24" t="s">
        <v>344</v>
      </c>
      <c r="J14" s="24"/>
    </row>
    <row r="15" spans="1:10" x14ac:dyDescent="0.35">
      <c r="A15" s="22">
        <f t="shared" si="0"/>
        <v>14</v>
      </c>
      <c r="B15" s="23" t="s">
        <v>65</v>
      </c>
      <c r="C15" s="23" t="str">
        <f>VLOOKUP(B15,字段列表!A:D,2,0)</f>
        <v>isActive</v>
      </c>
      <c r="D15" s="23" t="s">
        <v>66</v>
      </c>
      <c r="E15" s="24" t="str">
        <f>VLOOKUP(B15,字段列表!A:D,3,0)</f>
        <v>Boolean</v>
      </c>
      <c r="F15" s="24" t="str">
        <f>VLOOKUP(C15,字段列表!B:F,4,0)</f>
        <v>Y</v>
      </c>
      <c r="G15" s="24" t="str">
        <f>VLOOKUP($C15,字段列表!$B:$F,5,0)</f>
        <v>Y</v>
      </c>
      <c r="H15" s="24" t="str">
        <f>VLOOKUP(C15,字段列表!B:G,6,0)</f>
        <v>BOOL</v>
      </c>
      <c r="I15" s="24" t="s">
        <v>344</v>
      </c>
      <c r="J15" s="24" t="s">
        <v>214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sqref="A1:B1"/>
    </sheetView>
  </sheetViews>
  <sheetFormatPr defaultRowHeight="13.2" x14ac:dyDescent="0.25"/>
  <cols>
    <col min="1" max="1" width="8.21875" style="29" bestFit="1" customWidth="1"/>
    <col min="2" max="2" width="9.21875" style="29" bestFit="1" customWidth="1"/>
    <col min="3" max="3" width="73.88671875" style="35" customWidth="1"/>
    <col min="4" max="7" width="8.21875" style="29" bestFit="1" customWidth="1"/>
    <col min="8" max="8" width="11.88671875" style="29" customWidth="1"/>
    <col min="9" max="9" width="4.88671875" style="29" bestFit="1" customWidth="1"/>
    <col min="10" max="16384" width="8.88671875" style="29"/>
  </cols>
  <sheetData>
    <row r="1" spans="1:9" s="36" customFormat="1" ht="12" x14ac:dyDescent="0.25">
      <c r="A1" s="38" t="s">
        <v>215</v>
      </c>
      <c r="B1" s="33" t="s">
        <v>396</v>
      </c>
      <c r="C1" s="32" t="s">
        <v>13</v>
      </c>
      <c r="D1" s="33" t="s">
        <v>58</v>
      </c>
      <c r="E1" s="33" t="s">
        <v>211</v>
      </c>
      <c r="F1" s="33" t="s">
        <v>213</v>
      </c>
      <c r="G1" s="33" t="s">
        <v>55</v>
      </c>
      <c r="H1" s="33" t="s">
        <v>178</v>
      </c>
      <c r="I1" s="33" t="s">
        <v>16</v>
      </c>
    </row>
    <row r="2" spans="1:9" x14ac:dyDescent="0.25">
      <c r="A2" s="34" t="s">
        <v>12</v>
      </c>
      <c r="B2" s="27" t="str">
        <f>VLOOKUP($A2,字段列表!$A:$G,2,0)</f>
        <v>seqNo</v>
      </c>
      <c r="C2" s="23" t="s">
        <v>171</v>
      </c>
      <c r="D2" s="27" t="str">
        <f>VLOOKUP($A2,字段列表!$A:$G,3,0)</f>
        <v>VARCHAR</v>
      </c>
      <c r="E2" s="27" t="str">
        <f>VLOOKUP($A2,字段列表!$A:$G,5,0)</f>
        <v>-</v>
      </c>
      <c r="F2" s="27" t="str">
        <f>VLOOKUP($A2,字段列表!$A:$G,6,0)</f>
        <v>-</v>
      </c>
      <c r="G2" s="27" t="str">
        <f>VLOOKUP($A2,字段列表!$A:$G,7,0)</f>
        <v>-</v>
      </c>
      <c r="H2" s="27" t="s">
        <v>344</v>
      </c>
      <c r="I2" s="27"/>
    </row>
    <row r="3" spans="1:9" ht="26.4" x14ac:dyDescent="0.25">
      <c r="A3" s="34" t="s">
        <v>170</v>
      </c>
      <c r="B3" s="27" t="str">
        <f>VLOOKUP($A3,字段列表!$A:$G,2,0)</f>
        <v>isEnabled</v>
      </c>
      <c r="C3" s="23" t="s">
        <v>361</v>
      </c>
      <c r="D3" s="27" t="str">
        <f>VLOOKUP($A3,字段列表!$A:$G,3,0)</f>
        <v>Boolean</v>
      </c>
      <c r="E3" s="27" t="str">
        <f>VLOOKUP($A3,字段列表!$A:$G,5,0)</f>
        <v>Y</v>
      </c>
      <c r="F3" s="27" t="str">
        <f>VLOOKUP($A3,字段列表!$A:$G,6,0)</f>
        <v>Y</v>
      </c>
      <c r="G3" s="27" t="str">
        <f>VLOOKUP($A3,字段列表!$A:$G,7,0)</f>
        <v>BOOL</v>
      </c>
      <c r="H3" s="27" t="s">
        <v>54</v>
      </c>
      <c r="I3" s="27"/>
    </row>
    <row r="4" spans="1:9" ht="39.6" x14ac:dyDescent="0.25">
      <c r="A4" s="34" t="s">
        <v>173</v>
      </c>
      <c r="B4" s="27" t="str">
        <f>VLOOKUP($A4,字段列表!$A:$G,2,0)</f>
        <v>orgId</v>
      </c>
      <c r="C4" s="23" t="s">
        <v>379</v>
      </c>
      <c r="D4" s="27" t="str">
        <f>VLOOKUP($A4,字段列表!$A:$G,3,0)</f>
        <v>VARCHAR</v>
      </c>
      <c r="E4" s="27" t="str">
        <f>VLOOKUP($A4,字段列表!$A:$G,5,0)</f>
        <v>-</v>
      </c>
      <c r="F4" s="27" t="str">
        <f>VLOOKUP($A4,字段列表!$A:$G,6,0)</f>
        <v>Y</v>
      </c>
      <c r="G4" s="27" t="str">
        <f>VLOOKUP($A4,字段列表!$A:$G,7,0)</f>
        <v>SEL-2</v>
      </c>
      <c r="H4" s="27" t="s">
        <v>54</v>
      </c>
      <c r="I4" s="27"/>
    </row>
    <row r="5" spans="1:9" x14ac:dyDescent="0.25">
      <c r="A5" s="34" t="s">
        <v>18</v>
      </c>
      <c r="B5" s="27" t="str">
        <f>VLOOKUP($A5,字段列表!$A:$G,2,0)</f>
        <v>orgName</v>
      </c>
      <c r="C5" s="23" t="s">
        <v>174</v>
      </c>
      <c r="D5" s="27" t="str">
        <f>VLOOKUP($A5,字段列表!$A:$G,3,0)</f>
        <v>VARCHAR</v>
      </c>
      <c r="E5" s="27" t="str">
        <f>VLOOKUP($A5,字段列表!$A:$G,5,0)</f>
        <v>Y</v>
      </c>
      <c r="F5" s="27" t="str">
        <f>VLOOKUP($A5,字段列表!$A:$G,6,0)</f>
        <v>Y</v>
      </c>
      <c r="G5" s="27" t="str">
        <f>VLOOKUP($A5,字段列表!$A:$G,7,0)</f>
        <v>SEL-1</v>
      </c>
      <c r="H5" s="27" t="s">
        <v>344</v>
      </c>
      <c r="I5" s="27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sqref="A1:B1"/>
    </sheetView>
  </sheetViews>
  <sheetFormatPr defaultRowHeight="13.2" x14ac:dyDescent="0.25"/>
  <cols>
    <col min="1" max="1" width="8.21875" style="29" bestFit="1" customWidth="1"/>
    <col min="2" max="2" width="13.33203125" style="29" customWidth="1"/>
    <col min="3" max="3" width="68.109375" style="29" customWidth="1"/>
    <col min="4" max="6" width="8.21875" style="29" bestFit="1" customWidth="1"/>
    <col min="7" max="7" width="8.88671875" style="29"/>
    <col min="8" max="8" width="10.6640625" style="29" customWidth="1"/>
    <col min="9" max="16384" width="8.88671875" style="29"/>
  </cols>
  <sheetData>
    <row r="1" spans="1:9" x14ac:dyDescent="0.25">
      <c r="A1" s="38" t="s">
        <v>215</v>
      </c>
      <c r="B1" s="33" t="s">
        <v>396</v>
      </c>
      <c r="C1" s="32" t="s">
        <v>13</v>
      </c>
      <c r="D1" s="33" t="s">
        <v>58</v>
      </c>
      <c r="E1" s="33" t="s">
        <v>211</v>
      </c>
      <c r="F1" s="33" t="s">
        <v>213</v>
      </c>
      <c r="G1" s="33" t="s">
        <v>55</v>
      </c>
      <c r="H1" s="33" t="s">
        <v>178</v>
      </c>
      <c r="I1" s="33" t="s">
        <v>16</v>
      </c>
    </row>
    <row r="2" spans="1:9" x14ac:dyDescent="0.25">
      <c r="A2" s="27" t="s">
        <v>12</v>
      </c>
      <c r="B2" s="27" t="str">
        <f>VLOOKUP($A2,字段列表!$A:$G,2,0)</f>
        <v>seqNo</v>
      </c>
      <c r="C2" s="27" t="s">
        <v>175</v>
      </c>
      <c r="D2" s="27" t="str">
        <f>VLOOKUP($A2,字段列表!$A:$G,3,0)</f>
        <v>VARCHAR</v>
      </c>
      <c r="E2" s="27" t="str">
        <f>VLOOKUP($A2,字段列表!$A:$G,5,0)</f>
        <v>-</v>
      </c>
      <c r="F2" s="27" t="str">
        <f>VLOOKUP($A2,字段列表!$A:$G,6,0)</f>
        <v>-</v>
      </c>
      <c r="G2" s="27" t="str">
        <f>VLOOKUP($A2,字段列表!$A:$G,7,0)</f>
        <v>-</v>
      </c>
      <c r="H2" s="27" t="s">
        <v>344</v>
      </c>
      <c r="I2" s="27"/>
    </row>
    <row r="3" spans="1:9" x14ac:dyDescent="0.25">
      <c r="A3" s="31" t="s">
        <v>65</v>
      </c>
      <c r="B3" s="27" t="str">
        <f>VLOOKUP($A3,字段列表!$A:$G,2,0)</f>
        <v>isActive</v>
      </c>
      <c r="C3" s="31" t="s">
        <v>373</v>
      </c>
      <c r="D3" s="27" t="str">
        <f>VLOOKUP($A3,字段列表!$A:$G,3,0)</f>
        <v>Boolean</v>
      </c>
      <c r="E3" s="27" t="str">
        <f>VLOOKUP($A3,字段列表!$A:$G,5,0)</f>
        <v>Y</v>
      </c>
      <c r="F3" s="27" t="str">
        <f>VLOOKUP($A3,字段列表!$A:$G,6,0)</f>
        <v>Y</v>
      </c>
      <c r="G3" s="27" t="str">
        <f>VLOOKUP($A3,字段列表!$A:$G,7,0)</f>
        <v>BOOL</v>
      </c>
      <c r="H3" s="27" t="s">
        <v>54</v>
      </c>
      <c r="I3" s="27"/>
    </row>
    <row r="4" spans="1:9" x14ac:dyDescent="0.25">
      <c r="A4" s="27" t="s">
        <v>18</v>
      </c>
      <c r="B4" s="27" t="str">
        <f>VLOOKUP($A4,字段列表!$A:$G,2,0)</f>
        <v>orgName</v>
      </c>
      <c r="C4" s="27" t="s">
        <v>362</v>
      </c>
      <c r="D4" s="27" t="str">
        <f>VLOOKUP($A4,字段列表!$A:$G,3,0)</f>
        <v>VARCHAR</v>
      </c>
      <c r="E4" s="27" t="str">
        <f>VLOOKUP($A4,字段列表!$A:$G,5,0)</f>
        <v>Y</v>
      </c>
      <c r="F4" s="27" t="str">
        <f>VLOOKUP($A4,字段列表!$A:$G,6,0)</f>
        <v>Y</v>
      </c>
      <c r="G4" s="27" t="str">
        <f>VLOOKUP($A4,字段列表!$A:$G,7,0)</f>
        <v>SEL-1</v>
      </c>
      <c r="H4" s="27" t="s">
        <v>54</v>
      </c>
      <c r="I4" s="27"/>
    </row>
    <row r="5" spans="1:9" ht="26.4" x14ac:dyDescent="0.25">
      <c r="A5" s="27" t="s">
        <v>56</v>
      </c>
      <c r="B5" s="27" t="str">
        <f>VLOOKUP($A5,字段列表!$A:$G,2,0)</f>
        <v>categoryCode</v>
      </c>
      <c r="C5" s="31" t="s">
        <v>380</v>
      </c>
      <c r="D5" s="27" t="str">
        <f>VLOOKUP($A5,字段列表!$A:$G,3,0)</f>
        <v>VARCHAR</v>
      </c>
      <c r="E5" s="27" t="str">
        <f>VLOOKUP($A5,字段列表!$A:$G,5,0)</f>
        <v>-</v>
      </c>
      <c r="F5" s="27" t="str">
        <f>VLOOKUP($A5,字段列表!$A:$G,6,0)</f>
        <v>Y</v>
      </c>
      <c r="G5" s="27" t="str">
        <f>VLOOKUP($A5,字段列表!$A:$G,7,0)</f>
        <v>SEL-2</v>
      </c>
      <c r="H5" s="27" t="s">
        <v>54</v>
      </c>
      <c r="I5" s="27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sqref="A1:B1"/>
    </sheetView>
  </sheetViews>
  <sheetFormatPr defaultRowHeight="13.2" x14ac:dyDescent="0.3"/>
  <cols>
    <col min="1" max="1" width="19.44140625" style="25" customWidth="1"/>
    <col min="2" max="2" width="23.5546875" style="29" bestFit="1" customWidth="1"/>
    <col min="3" max="3" width="88.44140625" style="29" customWidth="1"/>
    <col min="4" max="7" width="8.88671875" style="25"/>
    <col min="8" max="8" width="10.6640625" style="29" customWidth="1"/>
    <col min="9" max="9" width="14.33203125" style="25" bestFit="1" customWidth="1"/>
    <col min="10" max="16384" width="8.88671875" style="25"/>
  </cols>
  <sheetData>
    <row r="1" spans="1:9" x14ac:dyDescent="0.3">
      <c r="A1" s="38" t="s">
        <v>215</v>
      </c>
      <c r="B1" s="33" t="s">
        <v>396</v>
      </c>
      <c r="C1" s="42" t="s">
        <v>13</v>
      </c>
      <c r="D1" s="33" t="s">
        <v>58</v>
      </c>
      <c r="E1" s="33" t="s">
        <v>211</v>
      </c>
      <c r="F1" s="33" t="s">
        <v>213</v>
      </c>
      <c r="G1" s="33" t="s">
        <v>55</v>
      </c>
      <c r="H1" s="33" t="s">
        <v>178</v>
      </c>
      <c r="I1" s="41" t="s">
        <v>16</v>
      </c>
    </row>
    <row r="2" spans="1:9" x14ac:dyDescent="0.3">
      <c r="A2" s="30" t="s">
        <v>18</v>
      </c>
      <c r="B2" s="27" t="str">
        <f>VLOOKUP($A2,字段列表!$A:$G,2,0)</f>
        <v>orgName</v>
      </c>
      <c r="C2" s="27" t="s">
        <v>71</v>
      </c>
      <c r="D2" s="27" t="str">
        <f>VLOOKUP($A2,字段列表!$A:$G,3,0)</f>
        <v>VARCHAR</v>
      </c>
      <c r="E2" s="27" t="str">
        <f>VLOOKUP($A2,字段列表!$A:$G,5,0)</f>
        <v>Y</v>
      </c>
      <c r="F2" s="27" t="str">
        <f>VLOOKUP($A2,字段列表!$A:$G,6,0)</f>
        <v>Y</v>
      </c>
      <c r="G2" s="27" t="str">
        <f>VLOOKUP($A2,字段列表!$A:$G,7,0)</f>
        <v>SEL-1</v>
      </c>
      <c r="H2" s="27" t="s">
        <v>344</v>
      </c>
      <c r="I2" s="27" t="s">
        <v>377</v>
      </c>
    </row>
    <row r="3" spans="1:9" x14ac:dyDescent="0.3">
      <c r="A3" s="23" t="s">
        <v>371</v>
      </c>
      <c r="B3" s="27" t="str">
        <f>VLOOKUP($A3,字段列表!$A:$G,2,0)</f>
        <v>calcSubInvNetValueName</v>
      </c>
      <c r="C3" s="27" t="s">
        <v>381</v>
      </c>
      <c r="D3" s="27" t="str">
        <f>VLOOKUP($A3,字段列表!$A:$G,3,0)</f>
        <v>VARCHAR</v>
      </c>
      <c r="E3" s="27" t="str">
        <f>VLOOKUP($A3,字段列表!$A:$G,5,0)</f>
        <v>-</v>
      </c>
      <c r="F3" s="27" t="str">
        <f>VLOOKUP($A3,字段列表!$A:$G,6,0)</f>
        <v>Y</v>
      </c>
      <c r="G3" s="27" t="str">
        <f>VLOOKUP($A3,字段列表!$A:$G,7,0)</f>
        <v>SEL-2</v>
      </c>
      <c r="H3" s="27" t="s">
        <v>54</v>
      </c>
      <c r="I3" s="27" t="s">
        <v>647</v>
      </c>
    </row>
    <row r="4" spans="1:9" x14ac:dyDescent="0.3">
      <c r="A4" s="23" t="s">
        <v>372</v>
      </c>
      <c r="B4" s="27" t="str">
        <f>VLOOKUP($A4,字段列表!$A:$G,2,0)</f>
        <v>calcSubInvNetValueDesc</v>
      </c>
      <c r="C4" s="27" t="s">
        <v>363</v>
      </c>
      <c r="D4" s="27" t="str">
        <f>VLOOKUP($A4,字段列表!$A:$G,3,0)</f>
        <v>VARCHAR</v>
      </c>
      <c r="E4" s="27" t="str">
        <f>VLOOKUP($A4,字段列表!$A:$G,5,0)</f>
        <v>-</v>
      </c>
      <c r="F4" s="27" t="str">
        <f>VLOOKUP($A4,字段列表!$A:$G,6,0)</f>
        <v>-</v>
      </c>
      <c r="G4" s="27" t="str">
        <f>VLOOKUP($A4,字段列表!$A:$G,7,0)</f>
        <v>-</v>
      </c>
      <c r="H4" s="27" t="s">
        <v>344</v>
      </c>
      <c r="I4" s="27" t="s">
        <v>344</v>
      </c>
    </row>
    <row r="5" spans="1:9" x14ac:dyDescent="0.3">
      <c r="A5" s="31" t="s">
        <v>65</v>
      </c>
      <c r="B5" s="27" t="str">
        <f>VLOOKUP($A5,字段列表!$A:$G,2,0)</f>
        <v>isActive</v>
      </c>
      <c r="C5" s="27" t="s">
        <v>374</v>
      </c>
      <c r="D5" s="27" t="str">
        <f>VLOOKUP($A5,字段列表!$A:$G,3,0)</f>
        <v>Boolean</v>
      </c>
      <c r="E5" s="27" t="str">
        <f>VLOOKUP($A5,字段列表!$A:$G,5,0)</f>
        <v>Y</v>
      </c>
      <c r="F5" s="27" t="str">
        <f>VLOOKUP($A5,字段列表!$A:$G,6,0)</f>
        <v>Y</v>
      </c>
      <c r="G5" s="27" t="str">
        <f>VLOOKUP($A5,字段列表!$A:$G,7,0)</f>
        <v>BOOL</v>
      </c>
      <c r="H5" s="27" t="s">
        <v>54</v>
      </c>
      <c r="I5" s="27" t="s">
        <v>344</v>
      </c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zoomScaleNormal="100" workbookViewId="0">
      <selection sqref="A1:B1"/>
    </sheetView>
  </sheetViews>
  <sheetFormatPr defaultRowHeight="13.8" x14ac:dyDescent="0.25"/>
  <cols>
    <col min="1" max="1" width="14.21875" style="44" customWidth="1"/>
    <col min="2" max="2" width="23.5546875" style="44" bestFit="1" customWidth="1"/>
    <col min="3" max="3" width="90.109375" style="45" customWidth="1"/>
    <col min="4" max="7" width="8.88671875" style="44"/>
    <col min="8" max="8" width="10.88671875" style="44" customWidth="1"/>
    <col min="9" max="16384" width="8.88671875" style="44"/>
  </cols>
  <sheetData>
    <row r="1" spans="1:9" x14ac:dyDescent="0.25">
      <c r="A1" s="38" t="s">
        <v>215</v>
      </c>
      <c r="B1" s="33" t="s">
        <v>396</v>
      </c>
      <c r="C1" s="32" t="s">
        <v>13</v>
      </c>
      <c r="D1" s="33" t="s">
        <v>58</v>
      </c>
      <c r="E1" s="33" t="s">
        <v>211</v>
      </c>
      <c r="F1" s="33" t="s">
        <v>213</v>
      </c>
      <c r="G1" s="33" t="s">
        <v>55</v>
      </c>
      <c r="H1" s="33" t="s">
        <v>178</v>
      </c>
      <c r="I1" s="43" t="s">
        <v>16</v>
      </c>
    </row>
    <row r="2" spans="1:9" x14ac:dyDescent="0.25">
      <c r="A2" s="27" t="s">
        <v>18</v>
      </c>
      <c r="B2" s="27" t="str">
        <f>VLOOKUP($A2,字段列表!$A:$G,2,0)</f>
        <v>orgName</v>
      </c>
      <c r="C2" s="31" t="s">
        <v>71</v>
      </c>
      <c r="D2" s="27" t="str">
        <f>VLOOKUP($A2,字段列表!$A:$G,3,0)</f>
        <v>VARCHAR</v>
      </c>
      <c r="E2" s="27" t="str">
        <f>VLOOKUP($A2,字段列表!$A:$G,5,0)</f>
        <v>Y</v>
      </c>
      <c r="F2" s="27" t="str">
        <f>VLOOKUP($A2,字段列表!$A:$G,6,0)</f>
        <v>Y</v>
      </c>
      <c r="G2" s="27" t="str">
        <f>VLOOKUP($A2,字段列表!$A:$G,7,0)</f>
        <v>SEL-1</v>
      </c>
      <c r="H2" s="27" t="s">
        <v>344</v>
      </c>
      <c r="I2" s="27" t="s">
        <v>344</v>
      </c>
    </row>
    <row r="3" spans="1:9" x14ac:dyDescent="0.25">
      <c r="A3" s="23" t="s">
        <v>371</v>
      </c>
      <c r="B3" s="27" t="str">
        <f>VLOOKUP($A3,字段列表!$A:$G,2,0)</f>
        <v>calcSubInvNetValueName</v>
      </c>
      <c r="C3" s="31" t="s">
        <v>648</v>
      </c>
      <c r="D3" s="27" t="str">
        <f>VLOOKUP($A3,字段列表!$A:$G,3,0)</f>
        <v>VARCHAR</v>
      </c>
      <c r="E3" s="27" t="str">
        <f>VLOOKUP($A3,字段列表!$A:$G,5,0)</f>
        <v>-</v>
      </c>
      <c r="F3" s="27" t="str">
        <f>VLOOKUP($A3,字段列表!$A:$G,6,0)</f>
        <v>Y</v>
      </c>
      <c r="G3" s="27" t="str">
        <f>VLOOKUP($A3,字段列表!$A:$G,7,0)</f>
        <v>SEL-2</v>
      </c>
      <c r="H3" s="27" t="s">
        <v>344</v>
      </c>
      <c r="I3" s="27" t="s">
        <v>344</v>
      </c>
    </row>
    <row r="4" spans="1:9" ht="26.4" x14ac:dyDescent="0.25">
      <c r="A4" s="23" t="s">
        <v>372</v>
      </c>
      <c r="B4" s="27" t="str">
        <f>VLOOKUP($A4,字段列表!$A:$G,2,0)</f>
        <v>calcSubInvNetValueDesc</v>
      </c>
      <c r="C4" s="31" t="s">
        <v>363</v>
      </c>
      <c r="D4" s="27" t="str">
        <f>VLOOKUP($A4,字段列表!$A:$G,3,0)</f>
        <v>VARCHAR</v>
      </c>
      <c r="E4" s="27" t="str">
        <f>VLOOKUP($A4,字段列表!$A:$G,5,0)</f>
        <v>-</v>
      </c>
      <c r="F4" s="27" t="str">
        <f>VLOOKUP($A4,字段列表!$A:$G,6,0)</f>
        <v>-</v>
      </c>
      <c r="G4" s="27" t="str">
        <f>VLOOKUP($A4,字段列表!$A:$G,7,0)</f>
        <v>-</v>
      </c>
      <c r="H4" s="27" t="s">
        <v>344</v>
      </c>
      <c r="I4" s="27" t="s">
        <v>344</v>
      </c>
    </row>
    <row r="5" spans="1:9" x14ac:dyDescent="0.25">
      <c r="A5" s="27" t="s">
        <v>70</v>
      </c>
      <c r="B5" s="27" t="str">
        <f>VLOOKUP($A5,字段列表!$A:$G,2,0)</f>
        <v>locationCode</v>
      </c>
      <c r="C5" s="31" t="s">
        <v>367</v>
      </c>
      <c r="D5" s="27" t="str">
        <f>VLOOKUP($A5,字段列表!$A:$G,3,0)</f>
        <v>VARCHAR</v>
      </c>
      <c r="E5" s="27" t="str">
        <f>VLOOKUP($A5,字段列表!$A:$G,5,0)</f>
        <v>Y</v>
      </c>
      <c r="F5" s="27" t="str">
        <f>VLOOKUP($A5,字段列表!$A:$G,6,0)</f>
        <v>Y</v>
      </c>
      <c r="G5" s="27" t="str">
        <f>VLOOKUP($A5,字段列表!$A:$G,7,0)</f>
        <v>SEL-2</v>
      </c>
      <c r="H5" s="27" t="s">
        <v>54</v>
      </c>
      <c r="I5" s="27" t="s">
        <v>344</v>
      </c>
    </row>
    <row r="6" spans="1:9" x14ac:dyDescent="0.25">
      <c r="A6" s="27" t="s">
        <v>368</v>
      </c>
      <c r="B6" s="27" t="str">
        <f>VLOOKUP($A6,字段列表!$A:$G,2,0)</f>
        <v>locationName</v>
      </c>
      <c r="C6" s="31" t="s">
        <v>366</v>
      </c>
      <c r="D6" s="27" t="str">
        <f>VLOOKUP($A6,字段列表!$A:$G,3,0)</f>
        <v>VARCHAR</v>
      </c>
      <c r="E6" s="27" t="str">
        <f>VLOOKUP($A6,字段列表!$A:$G,5,0)</f>
        <v>-</v>
      </c>
      <c r="F6" s="27" t="str">
        <f>VLOOKUP($A6,字段列表!$A:$G,6,0)</f>
        <v>-</v>
      </c>
      <c r="G6" s="27" t="str">
        <f>VLOOKUP($A6,字段列表!$A:$G,7,0)</f>
        <v>-</v>
      </c>
      <c r="H6" s="27" t="s">
        <v>344</v>
      </c>
      <c r="I6" s="27" t="s">
        <v>344</v>
      </c>
    </row>
    <row r="7" spans="1:9" ht="26.4" x14ac:dyDescent="0.25">
      <c r="A7" s="31" t="s">
        <v>65</v>
      </c>
      <c r="B7" s="27" t="str">
        <f>VLOOKUP($A7,字段列表!$A:$G,2,0)</f>
        <v>isActive</v>
      </c>
      <c r="C7" s="31" t="s">
        <v>515</v>
      </c>
      <c r="D7" s="27" t="str">
        <f>VLOOKUP($A7,字段列表!$A:$G,3,0)</f>
        <v>Boolean</v>
      </c>
      <c r="E7" s="27" t="str">
        <f>VLOOKUP($A7,字段列表!$A:$G,5,0)</f>
        <v>Y</v>
      </c>
      <c r="F7" s="27" t="str">
        <f>VLOOKUP($A7,字段列表!$A:$G,6,0)</f>
        <v>Y</v>
      </c>
      <c r="G7" s="27" t="str">
        <f>VLOOKUP($A7,字段列表!$A:$G,7,0)</f>
        <v>BOOL</v>
      </c>
      <c r="H7" s="27" t="s">
        <v>54</v>
      </c>
      <c r="I7" s="27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sqref="A1:B1"/>
    </sheetView>
  </sheetViews>
  <sheetFormatPr defaultRowHeight="13.8" x14ac:dyDescent="0.25"/>
  <cols>
    <col min="1" max="1" width="14.21875" customWidth="1"/>
    <col min="2" max="2" width="12.6640625" bestFit="1" customWidth="1"/>
    <col min="3" max="3" width="87.44140625" bestFit="1" customWidth="1"/>
    <col min="8" max="8" width="10.88671875" customWidth="1"/>
  </cols>
  <sheetData>
    <row r="1" spans="1:9" x14ac:dyDescent="0.25">
      <c r="A1" s="38" t="s">
        <v>215</v>
      </c>
      <c r="B1" s="33" t="s">
        <v>396</v>
      </c>
      <c r="C1" s="32" t="s">
        <v>13</v>
      </c>
      <c r="D1" s="33" t="s">
        <v>58</v>
      </c>
      <c r="E1" s="33" t="s">
        <v>211</v>
      </c>
      <c r="F1" s="33" t="s">
        <v>213</v>
      </c>
      <c r="G1" s="33" t="s">
        <v>55</v>
      </c>
      <c r="H1" s="33" t="s">
        <v>178</v>
      </c>
      <c r="I1" s="43" t="s">
        <v>16</v>
      </c>
    </row>
    <row r="2" spans="1:9" x14ac:dyDescent="0.25">
      <c r="A2" s="27" t="s">
        <v>18</v>
      </c>
      <c r="B2" s="27" t="str">
        <f>VLOOKUP($A2,字段列表!$A:$G,2,0)</f>
        <v>orgName</v>
      </c>
      <c r="C2" s="31" t="s">
        <v>378</v>
      </c>
      <c r="D2" s="27" t="str">
        <f>VLOOKUP($A2,字段列表!$A:$G,3,0)</f>
        <v>VARCHAR</v>
      </c>
      <c r="E2" s="27" t="str">
        <f>VLOOKUP($A2,字段列表!$A:$G,5,0)</f>
        <v>Y</v>
      </c>
      <c r="F2" s="27" t="str">
        <f>VLOOKUP($A2,字段列表!$A:$G,6,0)</f>
        <v>Y</v>
      </c>
      <c r="G2" s="27" t="str">
        <f>VLOOKUP($A2,字段列表!$A:$G,7,0)</f>
        <v>SEL-1</v>
      </c>
      <c r="H2" s="27" t="s">
        <v>344</v>
      </c>
      <c r="I2" s="27" t="s">
        <v>376</v>
      </c>
    </row>
    <row r="3" spans="1:9" ht="26.4" x14ac:dyDescent="0.25">
      <c r="A3" s="23" t="s">
        <v>59</v>
      </c>
      <c r="B3" s="27" t="str">
        <f>VLOOKUP($A3,字段列表!$A:$G,2,0)</f>
        <v>supplierCode</v>
      </c>
      <c r="C3" s="23" t="s">
        <v>382</v>
      </c>
      <c r="D3" s="27" t="str">
        <f>VLOOKUP($A3,字段列表!$A:$G,3,0)</f>
        <v>VARCHAR</v>
      </c>
      <c r="E3" s="27" t="s">
        <v>54</v>
      </c>
      <c r="F3" s="27" t="str">
        <f>VLOOKUP($A3,字段列表!$A:$G,6,0)</f>
        <v>Y</v>
      </c>
      <c r="G3" s="27" t="str">
        <f>VLOOKUP($A3,字段列表!$A:$G,7,0)</f>
        <v>SEL-2</v>
      </c>
      <c r="H3" s="27" t="s">
        <v>344</v>
      </c>
      <c r="I3" s="27" t="s">
        <v>344</v>
      </c>
    </row>
    <row r="4" spans="1:9" x14ac:dyDescent="0.25">
      <c r="A4" s="23" t="s">
        <v>347</v>
      </c>
      <c r="B4" s="27" t="str">
        <f>VLOOKUP($A4,字段列表!$A:$G,2,0)</f>
        <v>supplierDesc</v>
      </c>
      <c r="C4" s="23" t="s">
        <v>69</v>
      </c>
      <c r="D4" s="27" t="str">
        <f>VLOOKUP($A4,字段列表!$A:$G,3,0)</f>
        <v>VARCHAR</v>
      </c>
      <c r="E4" s="27" t="str">
        <f>VLOOKUP($A4,字段列表!$A:$G,5,0)</f>
        <v>-</v>
      </c>
      <c r="F4" s="27" t="str">
        <f>VLOOKUP($A4,字段列表!$A:$G,6,0)</f>
        <v>-</v>
      </c>
      <c r="G4" s="27" t="str">
        <f>VLOOKUP($A4,字段列表!$A:$G,7,0)</f>
        <v>-</v>
      </c>
      <c r="H4" s="27" t="s">
        <v>344</v>
      </c>
      <c r="I4" s="27" t="s">
        <v>344</v>
      </c>
    </row>
    <row r="5" spans="1:9" x14ac:dyDescent="0.25">
      <c r="A5" s="31" t="s">
        <v>65</v>
      </c>
      <c r="B5" s="27" t="str">
        <f>VLOOKUP($A5,字段列表!$A:$G,2,0)</f>
        <v>isActive</v>
      </c>
      <c r="C5" s="27" t="s">
        <v>375</v>
      </c>
      <c r="D5" s="27" t="str">
        <f>VLOOKUP($A5,字段列表!$A:$G,3,0)</f>
        <v>Boolean</v>
      </c>
      <c r="E5" s="27" t="str">
        <f>VLOOKUP($A5,字段列表!$A:$G,5,0)</f>
        <v>Y</v>
      </c>
      <c r="F5" s="27" t="str">
        <f>VLOOKUP($A5,字段列表!$A:$G,6,0)</f>
        <v>Y</v>
      </c>
      <c r="G5" s="27" t="str">
        <f>VLOOKUP($A5,字段列表!$A:$G,7,0)</f>
        <v>BOOL</v>
      </c>
      <c r="H5" s="27" t="s">
        <v>54</v>
      </c>
      <c r="I5" s="27" t="s">
        <v>344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sqref="A1:B1"/>
    </sheetView>
  </sheetViews>
  <sheetFormatPr defaultRowHeight="13.8" x14ac:dyDescent="0.25"/>
  <cols>
    <col min="1" max="1" width="14.21875" customWidth="1"/>
    <col min="2" max="2" width="15.88671875" bestFit="1" customWidth="1"/>
    <col min="3" max="3" width="87.44140625" bestFit="1" customWidth="1"/>
    <col min="8" max="8" width="10.88671875" customWidth="1"/>
  </cols>
  <sheetData>
    <row r="1" spans="1:9" x14ac:dyDescent="0.25">
      <c r="A1" s="38" t="s">
        <v>215</v>
      </c>
      <c r="B1" s="33" t="s">
        <v>396</v>
      </c>
      <c r="C1" s="32" t="s">
        <v>13</v>
      </c>
      <c r="D1" s="33" t="s">
        <v>58</v>
      </c>
      <c r="E1" s="33" t="s">
        <v>211</v>
      </c>
      <c r="F1" s="33" t="s">
        <v>213</v>
      </c>
      <c r="G1" s="33" t="s">
        <v>55</v>
      </c>
      <c r="H1" s="33" t="s">
        <v>178</v>
      </c>
      <c r="I1" s="43" t="s">
        <v>16</v>
      </c>
    </row>
    <row r="2" spans="1:9" ht="66" x14ac:dyDescent="0.25">
      <c r="A2" s="31" t="s">
        <v>30</v>
      </c>
      <c r="B2" s="27" t="str">
        <f>VLOOKUP($A2,字段列表!$A:$G,2,0)</f>
        <v>workOrderStatus</v>
      </c>
      <c r="C2" s="31" t="s">
        <v>384</v>
      </c>
      <c r="D2" s="27" t="str">
        <f>VLOOKUP($A2,字段列表!$A:$G,3,0)</f>
        <v>VARCHAR</v>
      </c>
      <c r="E2" s="27" t="str">
        <f>VLOOKUP($A2,字段列表!$A:$G,5,0)</f>
        <v>-</v>
      </c>
      <c r="F2" s="27" t="str">
        <f>VLOOKUP($A2,字段列表!$A:$G,6,0)</f>
        <v>Y</v>
      </c>
      <c r="G2" s="27" t="str">
        <f>VLOOKUP($A2,字段列表!$A:$G,7,0)</f>
        <v>SEL-2</v>
      </c>
      <c r="H2" s="27" t="s">
        <v>344</v>
      </c>
      <c r="I2" s="27" t="s">
        <v>344</v>
      </c>
    </row>
    <row r="3" spans="1:9" x14ac:dyDescent="0.25">
      <c r="A3" s="31" t="s">
        <v>65</v>
      </c>
      <c r="B3" s="27" t="str">
        <f>VLOOKUP($A3,字段列表!$A:$G,2,0)</f>
        <v>isActive</v>
      </c>
      <c r="C3" s="27" t="s">
        <v>375</v>
      </c>
      <c r="D3" s="27" t="str">
        <f>VLOOKUP($A3,字段列表!$A:$G,3,0)</f>
        <v>Boolean</v>
      </c>
      <c r="E3" s="27" t="str">
        <f>VLOOKUP($A3,字段列表!$A:$G,5,0)</f>
        <v>Y</v>
      </c>
      <c r="F3" s="27" t="str">
        <f>VLOOKUP($A3,字段列表!$A:$G,6,0)</f>
        <v>Y</v>
      </c>
      <c r="G3" s="27" t="str">
        <f>VLOOKUP($A3,字段列表!$A:$G,7,0)</f>
        <v>BOOL</v>
      </c>
      <c r="H3" s="27" t="s">
        <v>54</v>
      </c>
      <c r="I3" s="27" t="s">
        <v>344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Normal="100" zoomScaleSheetLayoutView="115" workbookViewId="0">
      <selection activeCell="B1" sqref="B1:C1"/>
    </sheetView>
  </sheetViews>
  <sheetFormatPr defaultColWidth="22.109375" defaultRowHeight="13.2" x14ac:dyDescent="0.3"/>
  <cols>
    <col min="1" max="1" width="4.88671875" style="28" bestFit="1" customWidth="1"/>
    <col min="2" max="2" width="15.33203125" style="28" bestFit="1" customWidth="1"/>
    <col min="3" max="3" width="23" style="29" bestFit="1" customWidth="1"/>
    <col min="4" max="4" width="65.88671875" style="28" customWidth="1"/>
    <col min="5" max="5" width="10.5546875" style="29" bestFit="1" customWidth="1"/>
    <col min="6" max="6" width="13.77734375" style="29" customWidth="1"/>
    <col min="7" max="7" width="12.44140625" style="29" customWidth="1"/>
    <col min="8" max="8" width="11.77734375" style="29" customWidth="1"/>
    <col min="9" max="9" width="11.6640625" style="29" bestFit="1" customWidth="1"/>
    <col min="10" max="10" width="9.88671875" style="29" bestFit="1" customWidth="1"/>
    <col min="11" max="16384" width="22.109375" style="25"/>
  </cols>
  <sheetData>
    <row r="1" spans="1:10" s="37" customFormat="1" ht="16.2" x14ac:dyDescent="0.25">
      <c r="A1" s="86" t="s">
        <v>153</v>
      </c>
      <c r="B1" s="38" t="s">
        <v>215</v>
      </c>
      <c r="C1" s="33" t="s">
        <v>396</v>
      </c>
      <c r="D1" s="86" t="s">
        <v>670</v>
      </c>
      <c r="E1" s="86" t="s">
        <v>669</v>
      </c>
      <c r="F1" s="86" t="s">
        <v>671</v>
      </c>
      <c r="G1" s="86" t="s">
        <v>672</v>
      </c>
      <c r="H1" s="86" t="s">
        <v>673</v>
      </c>
      <c r="I1" s="86" t="s">
        <v>674</v>
      </c>
      <c r="J1" s="86" t="s">
        <v>105</v>
      </c>
    </row>
    <row r="2" spans="1:10" customFormat="1" ht="13.8" x14ac:dyDescent="0.25">
      <c r="A2" s="31">
        <v>1</v>
      </c>
      <c r="B2" s="27" t="s">
        <v>164</v>
      </c>
      <c r="C2" s="27" t="s">
        <v>690</v>
      </c>
      <c r="D2" s="27" t="s">
        <v>675</v>
      </c>
      <c r="E2" s="27" t="s">
        <v>430</v>
      </c>
      <c r="F2" s="27" t="s">
        <v>676</v>
      </c>
      <c r="G2" s="27" t="s">
        <v>676</v>
      </c>
      <c r="H2" s="27" t="s">
        <v>628</v>
      </c>
      <c r="I2" s="27" t="s">
        <v>344</v>
      </c>
      <c r="J2" s="73" t="s">
        <v>677</v>
      </c>
    </row>
    <row r="3" spans="1:10" customFormat="1" ht="13.8" x14ac:dyDescent="0.25">
      <c r="A3" s="31">
        <v>2</v>
      </c>
      <c r="B3" s="27" t="s">
        <v>241</v>
      </c>
      <c r="C3" s="27" t="s">
        <v>691</v>
      </c>
      <c r="D3" s="27" t="s">
        <v>678</v>
      </c>
      <c r="E3" s="27" t="s">
        <v>430</v>
      </c>
      <c r="F3" s="27" t="s">
        <v>676</v>
      </c>
      <c r="G3" s="27" t="s">
        <v>676</v>
      </c>
      <c r="H3" s="27" t="s">
        <v>692</v>
      </c>
      <c r="I3" s="27" t="s">
        <v>344</v>
      </c>
      <c r="J3" s="73"/>
    </row>
    <row r="4" spans="1:10" customFormat="1" ht="13.8" x14ac:dyDescent="0.25">
      <c r="A4" s="31">
        <v>3</v>
      </c>
      <c r="B4" s="27" t="s">
        <v>243</v>
      </c>
      <c r="C4" s="27" t="s">
        <v>693</v>
      </c>
      <c r="D4" s="27" t="s">
        <v>679</v>
      </c>
      <c r="E4" s="27" t="s">
        <v>236</v>
      </c>
      <c r="F4" s="27" t="s">
        <v>618</v>
      </c>
      <c r="G4" s="27" t="s">
        <v>676</v>
      </c>
      <c r="H4" s="27" t="s">
        <v>205</v>
      </c>
      <c r="I4" s="27" t="s">
        <v>344</v>
      </c>
      <c r="J4" s="73"/>
    </row>
    <row r="5" spans="1:10" customFormat="1" ht="13.8" x14ac:dyDescent="0.25">
      <c r="A5" s="31">
        <v>4</v>
      </c>
      <c r="B5" s="27" t="s">
        <v>680</v>
      </c>
      <c r="C5" s="27" t="s">
        <v>694</v>
      </c>
      <c r="D5" s="27" t="s">
        <v>679</v>
      </c>
      <c r="E5" s="27" t="s">
        <v>430</v>
      </c>
      <c r="F5" s="27" t="s">
        <v>618</v>
      </c>
      <c r="G5" s="27" t="s">
        <v>676</v>
      </c>
      <c r="H5" s="27" t="s">
        <v>626</v>
      </c>
      <c r="I5" s="27" t="s">
        <v>344</v>
      </c>
      <c r="J5" s="73"/>
    </row>
    <row r="6" spans="1:10" customFormat="1" ht="13.8" x14ac:dyDescent="0.25">
      <c r="A6" s="31">
        <v>5</v>
      </c>
      <c r="B6" s="27" t="s">
        <v>246</v>
      </c>
      <c r="C6" s="27" t="s">
        <v>695</v>
      </c>
      <c r="D6" s="27" t="s">
        <v>679</v>
      </c>
      <c r="E6" s="27" t="s">
        <v>430</v>
      </c>
      <c r="F6" s="27" t="s">
        <v>676</v>
      </c>
      <c r="G6" s="27" t="s">
        <v>676</v>
      </c>
      <c r="H6" s="27" t="s">
        <v>628</v>
      </c>
      <c r="I6" s="27" t="s">
        <v>344</v>
      </c>
      <c r="J6" s="73"/>
    </row>
    <row r="7" spans="1:10" customFormat="1" ht="13.8" x14ac:dyDescent="0.25">
      <c r="A7" s="31">
        <v>6</v>
      </c>
      <c r="B7" s="27" t="s">
        <v>681</v>
      </c>
      <c r="C7" s="27" t="s">
        <v>353</v>
      </c>
      <c r="D7" s="27" t="s">
        <v>679</v>
      </c>
      <c r="E7" s="27" t="s">
        <v>430</v>
      </c>
      <c r="F7" s="27" t="s">
        <v>618</v>
      </c>
      <c r="G7" s="27" t="s">
        <v>676</v>
      </c>
      <c r="H7" s="27" t="s">
        <v>628</v>
      </c>
      <c r="I7" s="27" t="s">
        <v>344</v>
      </c>
      <c r="J7" s="73"/>
    </row>
    <row r="8" spans="1:10" customFormat="1" ht="13.8" x14ac:dyDescent="0.25">
      <c r="A8" s="31">
        <v>7</v>
      </c>
      <c r="B8" s="27" t="s">
        <v>248</v>
      </c>
      <c r="C8" s="27" t="s">
        <v>446</v>
      </c>
      <c r="D8" s="27" t="s">
        <v>675</v>
      </c>
      <c r="E8" s="27" t="s">
        <v>430</v>
      </c>
      <c r="F8" s="27" t="s">
        <v>676</v>
      </c>
      <c r="G8" s="27" t="s">
        <v>676</v>
      </c>
      <c r="H8" s="27" t="s">
        <v>692</v>
      </c>
      <c r="I8" s="27" t="s">
        <v>344</v>
      </c>
      <c r="J8" s="73"/>
    </row>
    <row r="9" spans="1:10" customFormat="1" ht="13.8" x14ac:dyDescent="0.25">
      <c r="A9" s="31">
        <v>8</v>
      </c>
      <c r="B9" s="27" t="s">
        <v>250</v>
      </c>
      <c r="C9" s="27" t="s">
        <v>696</v>
      </c>
      <c r="D9" s="27" t="s">
        <v>682</v>
      </c>
      <c r="E9" s="27" t="s">
        <v>430</v>
      </c>
      <c r="F9" s="27" t="s">
        <v>618</v>
      </c>
      <c r="G9" s="27" t="s">
        <v>676</v>
      </c>
      <c r="H9" s="27" t="s">
        <v>626</v>
      </c>
      <c r="I9" s="27" t="s">
        <v>344</v>
      </c>
      <c r="J9" s="73"/>
    </row>
    <row r="10" spans="1:10" customFormat="1" ht="13.8" x14ac:dyDescent="0.25">
      <c r="A10" s="31">
        <v>9</v>
      </c>
      <c r="B10" s="27" t="s">
        <v>252</v>
      </c>
      <c r="C10" s="27" t="s">
        <v>697</v>
      </c>
      <c r="D10" s="27" t="s">
        <v>682</v>
      </c>
      <c r="E10" s="27" t="s">
        <v>430</v>
      </c>
      <c r="F10" s="27" t="s">
        <v>618</v>
      </c>
      <c r="G10" s="27" t="s">
        <v>676</v>
      </c>
      <c r="H10" s="27" t="s">
        <v>628</v>
      </c>
      <c r="I10" s="27" t="s">
        <v>344</v>
      </c>
      <c r="J10" s="73"/>
    </row>
    <row r="11" spans="1:10" customFormat="1" ht="13.8" x14ac:dyDescent="0.25">
      <c r="A11" s="31">
        <v>10</v>
      </c>
      <c r="B11" s="27" t="s">
        <v>254</v>
      </c>
      <c r="C11" s="27" t="s">
        <v>698</v>
      </c>
      <c r="D11" s="27" t="s">
        <v>682</v>
      </c>
      <c r="E11" s="27" t="s">
        <v>430</v>
      </c>
      <c r="F11" s="27" t="s">
        <v>618</v>
      </c>
      <c r="G11" s="27" t="s">
        <v>676</v>
      </c>
      <c r="H11" s="27" t="s">
        <v>628</v>
      </c>
      <c r="I11" s="27" t="s">
        <v>344</v>
      </c>
      <c r="J11" s="73"/>
    </row>
    <row r="12" spans="1:10" customFormat="1" ht="13.8" x14ac:dyDescent="0.25">
      <c r="A12" s="31">
        <v>11</v>
      </c>
      <c r="B12" s="27" t="s">
        <v>257</v>
      </c>
      <c r="C12" s="27" t="s">
        <v>699</v>
      </c>
      <c r="D12" s="27" t="s">
        <v>682</v>
      </c>
      <c r="E12" s="27" t="s">
        <v>430</v>
      </c>
      <c r="F12" s="27" t="s">
        <v>618</v>
      </c>
      <c r="G12" s="27" t="s">
        <v>676</v>
      </c>
      <c r="H12" s="27" t="s">
        <v>626</v>
      </c>
      <c r="I12" s="27" t="s">
        <v>344</v>
      </c>
      <c r="J12" s="73"/>
    </row>
    <row r="13" spans="1:10" customFormat="1" ht="13.8" x14ac:dyDescent="0.25">
      <c r="A13" s="31">
        <v>12</v>
      </c>
      <c r="B13" s="27" t="s">
        <v>259</v>
      </c>
      <c r="C13" s="27" t="s">
        <v>447</v>
      </c>
      <c r="D13" s="27" t="s">
        <v>682</v>
      </c>
      <c r="E13" s="27" t="s">
        <v>430</v>
      </c>
      <c r="F13" s="27" t="s">
        <v>618</v>
      </c>
      <c r="G13" s="27" t="s">
        <v>676</v>
      </c>
      <c r="H13" s="27" t="s">
        <v>626</v>
      </c>
      <c r="I13" s="27" t="s">
        <v>344</v>
      </c>
      <c r="J13" s="73"/>
    </row>
    <row r="14" spans="1:10" customFormat="1" ht="13.8" x14ac:dyDescent="0.25">
      <c r="A14" s="31">
        <v>13</v>
      </c>
      <c r="B14" s="27" t="s">
        <v>260</v>
      </c>
      <c r="C14" s="27" t="s">
        <v>700</v>
      </c>
      <c r="D14" s="27" t="s">
        <v>679</v>
      </c>
      <c r="E14" s="27" t="s">
        <v>430</v>
      </c>
      <c r="F14" s="27" t="s">
        <v>618</v>
      </c>
      <c r="G14" s="27" t="s">
        <v>676</v>
      </c>
      <c r="H14" s="27" t="s">
        <v>204</v>
      </c>
      <c r="I14" s="27" t="s">
        <v>344</v>
      </c>
      <c r="J14" s="73"/>
    </row>
    <row r="15" spans="1:10" customFormat="1" ht="13.8" x14ac:dyDescent="0.25">
      <c r="A15" s="31">
        <v>14</v>
      </c>
      <c r="B15" s="27" t="s">
        <v>262</v>
      </c>
      <c r="C15" s="27" t="s">
        <v>701</v>
      </c>
      <c r="D15" s="27" t="s">
        <v>679</v>
      </c>
      <c r="E15" s="27" t="s">
        <v>236</v>
      </c>
      <c r="F15" s="27" t="s">
        <v>676</v>
      </c>
      <c r="G15" s="27" t="s">
        <v>676</v>
      </c>
      <c r="H15" s="27" t="s">
        <v>205</v>
      </c>
      <c r="I15" s="27" t="s">
        <v>344</v>
      </c>
      <c r="J15" s="73"/>
    </row>
    <row r="16" spans="1:10" customFormat="1" ht="13.8" x14ac:dyDescent="0.25">
      <c r="A16" s="31">
        <v>15</v>
      </c>
      <c r="B16" s="27" t="s">
        <v>264</v>
      </c>
      <c r="C16" s="27" t="s">
        <v>702</v>
      </c>
      <c r="D16" s="27" t="s">
        <v>675</v>
      </c>
      <c r="E16" s="27" t="s">
        <v>430</v>
      </c>
      <c r="F16" s="27" t="s">
        <v>618</v>
      </c>
      <c r="G16" s="27" t="s">
        <v>676</v>
      </c>
      <c r="H16" s="27" t="s">
        <v>628</v>
      </c>
      <c r="I16" s="27" t="s">
        <v>344</v>
      </c>
      <c r="J16" s="73"/>
    </row>
    <row r="17" spans="1:10" customFormat="1" ht="13.8" x14ac:dyDescent="0.25">
      <c r="A17" s="31">
        <v>16</v>
      </c>
      <c r="B17" s="27" t="s">
        <v>230</v>
      </c>
      <c r="C17" s="27" t="s">
        <v>703</v>
      </c>
      <c r="D17" s="27" t="s">
        <v>675</v>
      </c>
      <c r="E17" s="27" t="s">
        <v>430</v>
      </c>
      <c r="F17" s="27" t="s">
        <v>618</v>
      </c>
      <c r="G17" s="27" t="s">
        <v>676</v>
      </c>
      <c r="H17" s="27" t="s">
        <v>628</v>
      </c>
      <c r="I17" s="27" t="s">
        <v>344</v>
      </c>
      <c r="J17" s="73"/>
    </row>
    <row r="18" spans="1:10" customFormat="1" ht="13.8" x14ac:dyDescent="0.25">
      <c r="A18" s="31">
        <v>17</v>
      </c>
      <c r="B18" s="27" t="s">
        <v>0</v>
      </c>
      <c r="C18" s="27" t="s">
        <v>704</v>
      </c>
      <c r="D18" s="27" t="s">
        <v>683</v>
      </c>
      <c r="E18" s="27" t="s">
        <v>430</v>
      </c>
      <c r="F18" s="27" t="s">
        <v>676</v>
      </c>
      <c r="G18" s="27" t="s">
        <v>676</v>
      </c>
      <c r="H18" s="27" t="s">
        <v>692</v>
      </c>
      <c r="I18" s="27" t="s">
        <v>344</v>
      </c>
      <c r="J18" s="73" t="s">
        <v>684</v>
      </c>
    </row>
    <row r="19" spans="1:10" customFormat="1" ht="13.8" x14ac:dyDescent="0.25">
      <c r="A19" s="31">
        <v>18</v>
      </c>
      <c r="B19" s="27" t="s">
        <v>168</v>
      </c>
      <c r="C19" s="27" t="s">
        <v>705</v>
      </c>
      <c r="D19" s="27" t="s">
        <v>685</v>
      </c>
      <c r="E19" s="27" t="s">
        <v>686</v>
      </c>
      <c r="F19" s="27" t="s">
        <v>676</v>
      </c>
      <c r="G19" s="27" t="s">
        <v>676</v>
      </c>
      <c r="H19" s="27" t="s">
        <v>204</v>
      </c>
      <c r="I19" s="27" t="s">
        <v>344</v>
      </c>
      <c r="J19" s="73"/>
    </row>
    <row r="20" spans="1:10" customFormat="1" ht="13.8" x14ac:dyDescent="0.25">
      <c r="A20" s="31">
        <v>19</v>
      </c>
      <c r="B20" s="27" t="s">
        <v>166</v>
      </c>
      <c r="C20" s="27" t="s">
        <v>706</v>
      </c>
      <c r="D20" s="27" t="s">
        <v>675</v>
      </c>
      <c r="E20" s="27" t="s">
        <v>430</v>
      </c>
      <c r="F20" s="27" t="s">
        <v>618</v>
      </c>
      <c r="G20" s="27" t="s">
        <v>676</v>
      </c>
      <c r="H20" s="27" t="s">
        <v>626</v>
      </c>
      <c r="I20" s="27" t="s">
        <v>344</v>
      </c>
      <c r="J20" s="73"/>
    </row>
    <row r="21" spans="1:10" customFormat="1" ht="13.8" x14ac:dyDescent="0.25">
      <c r="A21" s="31">
        <v>20</v>
      </c>
      <c r="B21" s="27" t="s">
        <v>167</v>
      </c>
      <c r="C21" s="27" t="s">
        <v>707</v>
      </c>
      <c r="D21" s="27" t="s">
        <v>675</v>
      </c>
      <c r="E21" s="27" t="s">
        <v>236</v>
      </c>
      <c r="F21" s="27" t="s">
        <v>618</v>
      </c>
      <c r="G21" s="27" t="s">
        <v>676</v>
      </c>
      <c r="H21" s="27" t="s">
        <v>205</v>
      </c>
      <c r="I21" s="27" t="s">
        <v>344</v>
      </c>
      <c r="J21" s="73" t="s">
        <v>687</v>
      </c>
    </row>
    <row r="22" spans="1:10" customFormat="1" ht="13.8" x14ac:dyDescent="0.25">
      <c r="A22" s="31">
        <v>21</v>
      </c>
      <c r="B22" s="27" t="s">
        <v>121</v>
      </c>
      <c r="C22" s="27" t="s">
        <v>708</v>
      </c>
      <c r="D22" s="27" t="s">
        <v>675</v>
      </c>
      <c r="E22" s="27" t="s">
        <v>430</v>
      </c>
      <c r="F22" s="27" t="s">
        <v>618</v>
      </c>
      <c r="G22" s="27" t="s">
        <v>676</v>
      </c>
      <c r="H22" s="27" t="s">
        <v>204</v>
      </c>
      <c r="I22" s="27" t="s">
        <v>344</v>
      </c>
      <c r="J22" s="73"/>
    </row>
    <row r="23" spans="1:10" customFormat="1" ht="13.8" x14ac:dyDescent="0.25">
      <c r="A23" s="31">
        <v>22</v>
      </c>
      <c r="B23" s="27" t="s">
        <v>273</v>
      </c>
      <c r="C23" s="27" t="s">
        <v>709</v>
      </c>
      <c r="D23" s="27" t="s">
        <v>675</v>
      </c>
      <c r="E23" s="27" t="s">
        <v>430</v>
      </c>
      <c r="F23" s="27" t="s">
        <v>618</v>
      </c>
      <c r="G23" s="27" t="s">
        <v>676</v>
      </c>
      <c r="H23" s="27" t="s">
        <v>204</v>
      </c>
      <c r="I23" s="27" t="s">
        <v>344</v>
      </c>
      <c r="J23" s="73"/>
    </row>
    <row r="24" spans="1:10" customFormat="1" ht="13.8" x14ac:dyDescent="0.25">
      <c r="A24" s="31">
        <v>23</v>
      </c>
      <c r="B24" s="27" t="s">
        <v>275</v>
      </c>
      <c r="C24" s="27" t="s">
        <v>710</v>
      </c>
      <c r="D24" s="27" t="s">
        <v>675</v>
      </c>
      <c r="E24" s="27" t="s">
        <v>430</v>
      </c>
      <c r="F24" s="27" t="s">
        <v>618</v>
      </c>
      <c r="G24" s="27" t="s">
        <v>676</v>
      </c>
      <c r="H24" s="27" t="s">
        <v>204</v>
      </c>
      <c r="I24" s="27" t="s">
        <v>344</v>
      </c>
      <c r="J24" s="73"/>
    </row>
    <row r="25" spans="1:10" customFormat="1" ht="13.8" x14ac:dyDescent="0.25">
      <c r="A25" s="31">
        <v>24</v>
      </c>
      <c r="B25" s="27" t="s">
        <v>277</v>
      </c>
      <c r="C25" s="27" t="s">
        <v>711</v>
      </c>
      <c r="D25" s="27" t="s">
        <v>675</v>
      </c>
      <c r="E25" s="27" t="s">
        <v>430</v>
      </c>
      <c r="F25" s="27" t="s">
        <v>618</v>
      </c>
      <c r="G25" s="27" t="s">
        <v>676</v>
      </c>
      <c r="H25" s="27" t="s">
        <v>204</v>
      </c>
      <c r="I25" s="27" t="s">
        <v>344</v>
      </c>
      <c r="J25" s="73"/>
    </row>
    <row r="26" spans="1:10" customFormat="1" ht="13.8" x14ac:dyDescent="0.25">
      <c r="A26" s="31">
        <v>25</v>
      </c>
      <c r="B26" s="27" t="s">
        <v>227</v>
      </c>
      <c r="C26" s="27" t="s">
        <v>712</v>
      </c>
      <c r="D26" s="27" t="s">
        <v>675</v>
      </c>
      <c r="E26" s="27" t="s">
        <v>430</v>
      </c>
      <c r="F26" s="27" t="s">
        <v>618</v>
      </c>
      <c r="G26" s="27" t="s">
        <v>676</v>
      </c>
      <c r="H26" s="27" t="s">
        <v>628</v>
      </c>
      <c r="I26" s="27" t="s">
        <v>344</v>
      </c>
      <c r="J26" s="73"/>
    </row>
    <row r="27" spans="1:10" customFormat="1" ht="13.8" x14ac:dyDescent="0.25">
      <c r="A27" s="31">
        <v>26</v>
      </c>
      <c r="B27" s="27" t="s">
        <v>347</v>
      </c>
      <c r="C27" s="27" t="s">
        <v>713</v>
      </c>
      <c r="D27" s="27" t="s">
        <v>675</v>
      </c>
      <c r="E27" s="27" t="s">
        <v>430</v>
      </c>
      <c r="F27" s="27" t="s">
        <v>618</v>
      </c>
      <c r="G27" s="27" t="s">
        <v>618</v>
      </c>
      <c r="H27" s="27" t="s">
        <v>714</v>
      </c>
      <c r="I27" s="27" t="s">
        <v>344</v>
      </c>
      <c r="J27" s="73"/>
    </row>
    <row r="28" spans="1:10" customFormat="1" ht="13.8" x14ac:dyDescent="0.25">
      <c r="A28" s="31">
        <v>27</v>
      </c>
      <c r="B28" s="27" t="s">
        <v>279</v>
      </c>
      <c r="C28" s="27" t="s">
        <v>715</v>
      </c>
      <c r="D28" s="27" t="s">
        <v>688</v>
      </c>
      <c r="E28" s="27" t="s">
        <v>236</v>
      </c>
      <c r="F28" s="27" t="s">
        <v>618</v>
      </c>
      <c r="G28" s="27" t="s">
        <v>676</v>
      </c>
      <c r="H28" s="27" t="s">
        <v>205</v>
      </c>
      <c r="I28" s="27" t="s">
        <v>344</v>
      </c>
      <c r="J28" s="73"/>
    </row>
    <row r="29" spans="1:10" customFormat="1" ht="13.8" x14ac:dyDescent="0.25">
      <c r="A29" s="31">
        <v>28</v>
      </c>
      <c r="B29" s="27" t="s">
        <v>168</v>
      </c>
      <c r="C29" s="27" t="s">
        <v>705</v>
      </c>
      <c r="D29" s="27" t="s">
        <v>689</v>
      </c>
      <c r="E29" s="27" t="s">
        <v>686</v>
      </c>
      <c r="F29" s="27" t="s">
        <v>676</v>
      </c>
      <c r="G29" s="27" t="s">
        <v>676</v>
      </c>
      <c r="H29" s="27" t="s">
        <v>204</v>
      </c>
      <c r="I29" s="27" t="s">
        <v>54</v>
      </c>
      <c r="J29" s="73" t="s">
        <v>754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J7"/>
  <sheetViews>
    <sheetView workbookViewId="0">
      <selection activeCell="F17" sqref="F17"/>
    </sheetView>
  </sheetViews>
  <sheetFormatPr defaultRowHeight="13.8" x14ac:dyDescent="0.25"/>
  <cols>
    <col min="1" max="1" width="11.6640625" bestFit="1" customWidth="1"/>
    <col min="2" max="2" width="11.6640625" customWidth="1"/>
    <col min="3" max="3" width="19.21875" bestFit="1" customWidth="1"/>
    <col min="4" max="4" width="81.5546875" customWidth="1"/>
  </cols>
  <sheetData>
    <row r="1" spans="1:10" ht="24" x14ac:dyDescent="0.25">
      <c r="A1" s="38" t="s">
        <v>215</v>
      </c>
      <c r="B1" s="33" t="s">
        <v>396</v>
      </c>
      <c r="C1" s="33" t="s">
        <v>58</v>
      </c>
      <c r="D1" s="32" t="s">
        <v>13</v>
      </c>
      <c r="E1" s="33" t="s">
        <v>58</v>
      </c>
      <c r="F1" s="33" t="s">
        <v>211</v>
      </c>
      <c r="G1" s="33" t="s">
        <v>213</v>
      </c>
      <c r="H1" s="33" t="s">
        <v>55</v>
      </c>
      <c r="I1" s="33" t="s">
        <v>178</v>
      </c>
      <c r="J1" s="43" t="s">
        <v>16</v>
      </c>
    </row>
    <row r="2" spans="1:10" ht="15" x14ac:dyDescent="0.25">
      <c r="A2" s="70" t="s">
        <v>47</v>
      </c>
      <c r="B2" s="70" t="s">
        <v>780</v>
      </c>
      <c r="C2" s="27" t="str">
        <f>VLOOKUP($A2,字段列表!$A:$G,2,0)</f>
        <v>componentCategory</v>
      </c>
      <c r="D2" s="31" t="s">
        <v>782</v>
      </c>
      <c r="E2" s="27" t="str">
        <f>VLOOKUP($A2,字段列表!$A:$G,3,0)</f>
        <v>VARCHAR</v>
      </c>
      <c r="F2" s="27" t="s">
        <v>717</v>
      </c>
      <c r="G2" s="27" t="s">
        <v>723</v>
      </c>
      <c r="H2" s="27" t="s">
        <v>781</v>
      </c>
      <c r="I2" s="27" t="s">
        <v>54</v>
      </c>
      <c r="J2" s="27" t="s">
        <v>344</v>
      </c>
    </row>
    <row r="3" spans="1:10" ht="15" x14ac:dyDescent="0.25">
      <c r="A3" s="70" t="s">
        <v>779</v>
      </c>
      <c r="B3" s="70" t="s">
        <v>780</v>
      </c>
      <c r="C3" s="27" t="e">
        <f>VLOOKUP($A3,字段列表!$A:$G,2,0)</f>
        <v>#N/A</v>
      </c>
      <c r="D3" s="31" t="s">
        <v>783</v>
      </c>
      <c r="E3" s="27" t="e">
        <f>VLOOKUP($A3,字段列表!$A:$G,3,0)</f>
        <v>#N/A</v>
      </c>
      <c r="F3" s="27" t="s">
        <v>717</v>
      </c>
      <c r="G3" s="27" t="s">
        <v>723</v>
      </c>
      <c r="H3" s="27" t="e">
        <v>#N/A</v>
      </c>
      <c r="I3" s="27" t="s">
        <v>54</v>
      </c>
      <c r="J3" s="27" t="s">
        <v>344</v>
      </c>
    </row>
    <row r="4" spans="1:10" ht="15" x14ac:dyDescent="0.35">
      <c r="A4" s="73" t="s">
        <v>775</v>
      </c>
      <c r="B4" s="90" t="s">
        <v>780</v>
      </c>
      <c r="C4" s="27" t="e">
        <f>VLOOKUP($A4,字段列表!$A:$G,2,0)</f>
        <v>#N/A</v>
      </c>
      <c r="D4" s="31" t="s">
        <v>783</v>
      </c>
      <c r="E4" s="27" t="e">
        <f>VLOOKUP($A4,字段列表!$A:$G,3,0)</f>
        <v>#N/A</v>
      </c>
      <c r="F4" s="27" t="s">
        <v>717</v>
      </c>
      <c r="G4" s="27" t="s">
        <v>723</v>
      </c>
      <c r="H4" s="27" t="e">
        <v>#N/A</v>
      </c>
      <c r="I4" s="27" t="s">
        <v>54</v>
      </c>
      <c r="J4" s="27" t="s">
        <v>344</v>
      </c>
    </row>
    <row r="5" spans="1:10" ht="15" x14ac:dyDescent="0.35">
      <c r="A5" s="73" t="s">
        <v>776</v>
      </c>
      <c r="B5" s="90" t="s">
        <v>780</v>
      </c>
      <c r="C5" s="27" t="e">
        <f>VLOOKUP($A5,字段列表!$A:$G,2,0)</f>
        <v>#N/A</v>
      </c>
      <c r="D5" s="31" t="s">
        <v>784</v>
      </c>
      <c r="E5" s="27" t="e">
        <f>VLOOKUP($A5,字段列表!$A:$G,3,0)</f>
        <v>#N/A</v>
      </c>
      <c r="F5" s="27"/>
      <c r="G5" s="27" t="s">
        <v>723</v>
      </c>
      <c r="H5" s="27" t="e">
        <v>#N/A</v>
      </c>
      <c r="I5" s="27" t="s">
        <v>344</v>
      </c>
      <c r="J5" s="27" t="s">
        <v>344</v>
      </c>
    </row>
    <row r="6" spans="1:10" ht="15" x14ac:dyDescent="0.35">
      <c r="A6" s="73" t="s">
        <v>777</v>
      </c>
      <c r="B6" s="90" t="s">
        <v>780</v>
      </c>
      <c r="C6" s="27" t="e">
        <f>VLOOKUP($A6,字段列表!$A:$G,2,0)</f>
        <v>#N/A</v>
      </c>
      <c r="D6" s="31" t="s">
        <v>784</v>
      </c>
      <c r="E6" s="27" t="e">
        <f>VLOOKUP($A6,字段列表!$A:$G,3,0)</f>
        <v>#N/A</v>
      </c>
      <c r="F6" s="27"/>
      <c r="G6" s="27" t="s">
        <v>723</v>
      </c>
      <c r="H6" s="27" t="e">
        <v>#N/A</v>
      </c>
      <c r="I6" s="27" t="s">
        <v>344</v>
      </c>
      <c r="J6" s="27" t="s">
        <v>344</v>
      </c>
    </row>
    <row r="7" spans="1:10" ht="15" x14ac:dyDescent="0.35">
      <c r="A7" s="73" t="s">
        <v>778</v>
      </c>
      <c r="B7" s="90" t="s">
        <v>780</v>
      </c>
      <c r="C7" s="27" t="e">
        <f>VLOOKUP($A7,字段列表!$A:$G,2,0)</f>
        <v>#N/A</v>
      </c>
      <c r="D7" s="31" t="s">
        <v>784</v>
      </c>
      <c r="E7" s="27" t="e">
        <f>VLOOKUP($A7,字段列表!$A:$G,3,0)</f>
        <v>#N/A</v>
      </c>
      <c r="F7" s="27" t="s">
        <v>717</v>
      </c>
      <c r="G7" s="27" t="s">
        <v>723</v>
      </c>
      <c r="H7" s="27" t="e">
        <v>#N/A</v>
      </c>
      <c r="I7" s="27" t="s">
        <v>344</v>
      </c>
      <c r="J7" s="27" t="s">
        <v>344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64"/>
  <sheetViews>
    <sheetView zoomScale="85" zoomScaleNormal="85" workbookViewId="0">
      <selection sqref="A1:B1"/>
    </sheetView>
  </sheetViews>
  <sheetFormatPr defaultRowHeight="13.8" x14ac:dyDescent="0.25"/>
  <cols>
    <col min="1" max="1" width="16.77734375" style="51" customWidth="1"/>
    <col min="2" max="2" width="17.5546875" style="51" customWidth="1"/>
    <col min="3" max="3" width="62" style="49" customWidth="1"/>
    <col min="4" max="7" width="12" style="7" bestFit="1" customWidth="1"/>
    <col min="8" max="8" width="24.6640625" style="7" customWidth="1"/>
  </cols>
  <sheetData>
    <row r="1" spans="1:8" s="46" customFormat="1" ht="45" customHeight="1" x14ac:dyDescent="0.25">
      <c r="A1" s="38" t="s">
        <v>215</v>
      </c>
      <c r="B1" s="33" t="s">
        <v>396</v>
      </c>
      <c r="C1" s="52" t="s">
        <v>13</v>
      </c>
      <c r="D1" s="52" t="s">
        <v>58</v>
      </c>
      <c r="E1" s="52" t="s">
        <v>211</v>
      </c>
      <c r="F1" s="52" t="s">
        <v>213</v>
      </c>
      <c r="G1" s="52" t="s">
        <v>55</v>
      </c>
      <c r="H1" s="53" t="s">
        <v>16</v>
      </c>
    </row>
    <row r="2" spans="1:8" ht="45" customHeight="1" x14ac:dyDescent="0.25">
      <c r="A2" s="70" t="s">
        <v>12</v>
      </c>
      <c r="B2" s="50" t="str">
        <f>VLOOKUP(A2,字段列表!$A:$G,2,0)</f>
        <v>seqNo</v>
      </c>
      <c r="C2" s="8" t="s">
        <v>14</v>
      </c>
      <c r="D2" s="47" t="str">
        <f>VLOOKUP($A2,字段列表!$A:$G,3,0)</f>
        <v>VARCHAR</v>
      </c>
      <c r="E2" s="47" t="str">
        <f>VLOOKUP($A2,字段列表!$A:$G,5,0)</f>
        <v>-</v>
      </c>
      <c r="F2" s="47" t="str">
        <f>VLOOKUP($A2,字段列表!$A:$G,6,0)</f>
        <v>-</v>
      </c>
      <c r="G2" s="47" t="str">
        <f>VLOOKUP($A2,字段列表!$A:$G,7,0)</f>
        <v>-</v>
      </c>
      <c r="H2" s="1"/>
    </row>
    <row r="3" spans="1:8" ht="45" customHeight="1" x14ac:dyDescent="0.25">
      <c r="A3" s="70" t="s">
        <v>735</v>
      </c>
      <c r="B3" s="50" t="str">
        <f>VLOOKUP(A3,字段列表!$A:$G,2,0)</f>
        <v>VerSion</v>
      </c>
      <c r="C3" s="8" t="s">
        <v>736</v>
      </c>
      <c r="D3" s="47" t="str">
        <f>VLOOKUP($A3,字段列表!$A:$G,3,0)</f>
        <v>INT</v>
      </c>
      <c r="E3" s="47" t="str">
        <f>VLOOKUP($A3,字段列表!$A:$G,5,0)</f>
        <v>-</v>
      </c>
      <c r="F3" s="47" t="str">
        <f>VLOOKUP($A3,字段列表!$A:$G,6,0)</f>
        <v>Y</v>
      </c>
      <c r="G3" s="47" t="str">
        <f>VLOOKUP($A3,字段列表!$A:$G,7,0)</f>
        <v>NUM</v>
      </c>
      <c r="H3" s="1"/>
    </row>
    <row r="4" spans="1:8" ht="45" customHeight="1" x14ac:dyDescent="0.35">
      <c r="A4" s="70" t="s">
        <v>46</v>
      </c>
      <c r="B4" s="50" t="str">
        <f>VLOOKUP(A4,字段列表!$A:$G,2,0)</f>
        <v>configCode</v>
      </c>
      <c r="C4" s="19" t="s">
        <v>82</v>
      </c>
      <c r="D4" s="47" t="str">
        <f>VLOOKUP($A4,字段列表!$A:$G,3,0)</f>
        <v>VARCHAR</v>
      </c>
      <c r="E4" s="47" t="str">
        <f>VLOOKUP($A4,字段列表!$A:$G,5,0)</f>
        <v>Y</v>
      </c>
      <c r="F4" s="47" t="str">
        <f>VLOOKUP($A4,字段列表!$A:$G,6,0)</f>
        <v>Y</v>
      </c>
      <c r="G4" s="47" t="str">
        <f>VLOOKUP($A4,字段列表!$A:$G,7,0)</f>
        <v>TXT-1</v>
      </c>
      <c r="H4" s="57" t="s">
        <v>412</v>
      </c>
    </row>
    <row r="5" spans="1:8" ht="45" customHeight="1" x14ac:dyDescent="0.25">
      <c r="A5" s="70" t="s">
        <v>44</v>
      </c>
      <c r="B5" s="50" t="str">
        <f>VLOOKUP(A5,字段列表!$A:$G,2,0)</f>
        <v>runTime</v>
      </c>
      <c r="C5" s="8" t="s">
        <v>149</v>
      </c>
      <c r="D5" s="47" t="str">
        <f>VLOOKUP($A5,字段列表!$A:$G,3,0)</f>
        <v>Date</v>
      </c>
      <c r="E5" s="47" t="str">
        <f>VLOOKUP($A5,字段列表!$A:$G,5,0)</f>
        <v>-</v>
      </c>
      <c r="F5" s="47" t="str">
        <f>VLOOKUP($A5,字段列表!$A:$G,6,0)</f>
        <v>Y</v>
      </c>
      <c r="G5" s="47" t="str">
        <f>VLOOKUP($A5,字段列表!$A:$G,7,0)</f>
        <v>DATA</v>
      </c>
      <c r="H5" s="3"/>
    </row>
    <row r="6" spans="1:8" ht="45" customHeight="1" x14ac:dyDescent="0.25">
      <c r="A6" s="70" t="s">
        <v>45</v>
      </c>
      <c r="B6" s="50" t="str">
        <f>VLOOKUP(A6,字段列表!$A:$G,2,0)</f>
        <v>lastRunBy</v>
      </c>
      <c r="C6" s="8" t="s">
        <v>83</v>
      </c>
      <c r="D6" s="47" t="str">
        <f>VLOOKUP($A6,字段列表!$A:$G,3,0)</f>
        <v>VARCHAR</v>
      </c>
      <c r="E6" s="47" t="str">
        <f>VLOOKUP($A6,字段列表!$A:$G,5,0)</f>
        <v>-</v>
      </c>
      <c r="F6" s="47" t="str">
        <f>VLOOKUP($A6,字段列表!$A:$G,6,0)</f>
        <v>Y</v>
      </c>
      <c r="G6" s="47" t="str">
        <f>VLOOKUP($A6,字段列表!$A:$G,7,0)</f>
        <v>TXT-2</v>
      </c>
      <c r="H6" s="3"/>
    </row>
    <row r="7" spans="1:8" ht="45" customHeight="1" x14ac:dyDescent="0.25">
      <c r="A7" s="70" t="s">
        <v>18</v>
      </c>
      <c r="B7" s="50" t="str">
        <f>VLOOKUP(A7,字段列表!$A:$G,2,0)</f>
        <v>orgName</v>
      </c>
      <c r="C7" s="8" t="s">
        <v>15</v>
      </c>
      <c r="D7" s="47" t="str">
        <f>VLOOKUP($A7,字段列表!$A:$G,3,0)</f>
        <v>VARCHAR</v>
      </c>
      <c r="E7" s="47" t="str">
        <f>VLOOKUP($A7,字段列表!$A:$G,5,0)</f>
        <v>Y</v>
      </c>
      <c r="F7" s="47" t="str">
        <f>VLOOKUP($A7,字段列表!$A:$G,6,0)</f>
        <v>Y</v>
      </c>
      <c r="G7" s="47" t="str">
        <f>VLOOKUP($A7,字段列表!$A:$G,7,0)</f>
        <v>SEL-1</v>
      </c>
      <c r="H7" s="1"/>
    </row>
    <row r="8" spans="1:8" ht="45" customHeight="1" x14ac:dyDescent="0.25">
      <c r="A8" s="70" t="s">
        <v>19</v>
      </c>
      <c r="B8" s="50" t="str">
        <f>VLOOKUP(A8,字段列表!$A:$G,2,0)</f>
        <v>orderNo</v>
      </c>
      <c r="C8" s="8" t="s">
        <v>106</v>
      </c>
      <c r="D8" s="47" t="str">
        <f>VLOOKUP($A8,字段列表!$A:$G,3,0)</f>
        <v>VARCHAR</v>
      </c>
      <c r="E8" s="47" t="str">
        <f>VLOOKUP($A8,字段列表!$A:$G,5,0)</f>
        <v>Y</v>
      </c>
      <c r="F8" s="47" t="str">
        <f>VLOOKUP($A8,字段列表!$A:$G,6,0)</f>
        <v>Y</v>
      </c>
      <c r="G8" s="47" t="str">
        <f>VLOOKUP($A8,字段列表!$A:$G,7,0)</f>
        <v>TXT-1</v>
      </c>
      <c r="H8" s="1"/>
    </row>
    <row r="9" spans="1:8" ht="45" customHeight="1" x14ac:dyDescent="0.25">
      <c r="A9" s="70" t="s">
        <v>20</v>
      </c>
      <c r="B9" s="50" t="str">
        <f>VLOOKUP(A9,字段列表!$A:$G,2,0)</f>
        <v>orderCreateDate</v>
      </c>
      <c r="C9" s="8" t="s">
        <v>38</v>
      </c>
      <c r="D9" s="47" t="str">
        <f>VLOOKUP($A9,字段列表!$A:$G,3,0)</f>
        <v>Date</v>
      </c>
      <c r="E9" s="47" t="str">
        <f>VLOOKUP($A9,字段列表!$A:$G,5,0)</f>
        <v>-</v>
      </c>
      <c r="F9" s="47" t="str">
        <f>VLOOKUP($A9,字段列表!$A:$G,6,0)</f>
        <v>Y</v>
      </c>
      <c r="G9" s="47" t="str">
        <f>VLOOKUP($A9,字段列表!$A:$G,7,0)</f>
        <v>DATA</v>
      </c>
      <c r="H9" s="1"/>
    </row>
    <row r="10" spans="1:8" ht="45" customHeight="1" x14ac:dyDescent="0.25">
      <c r="A10" s="70" t="s">
        <v>21</v>
      </c>
      <c r="B10" s="50" t="str">
        <f>VLOOKUP(A10,字段列表!$A:$G,2,0)</f>
        <v>orderCreator</v>
      </c>
      <c r="C10" s="8" t="s">
        <v>38</v>
      </c>
      <c r="D10" s="47" t="str">
        <f>VLOOKUP($A10,字段列表!$A:$G,3,0)</f>
        <v>VARCHAR</v>
      </c>
      <c r="E10" s="47" t="str">
        <f>VLOOKUP($A10,字段列表!$A:$G,5,0)</f>
        <v>-</v>
      </c>
      <c r="F10" s="47" t="str">
        <f>VLOOKUP($A10,字段列表!$A:$G,6,0)</f>
        <v>Y</v>
      </c>
      <c r="G10" s="47" t="str">
        <f>VLOOKUP($A10,字段列表!$A:$G,7,0)</f>
        <v>TXT-2</v>
      </c>
      <c r="H10" s="1"/>
    </row>
    <row r="11" spans="1:8" ht="45" customHeight="1" x14ac:dyDescent="0.25">
      <c r="A11" s="70" t="s">
        <v>22</v>
      </c>
      <c r="B11" s="50" t="str">
        <f>VLOOKUP(A11,字段列表!$A:$G,2,0)</f>
        <v>orderType</v>
      </c>
      <c r="C11" s="8" t="s">
        <v>38</v>
      </c>
      <c r="D11" s="47" t="str">
        <f>VLOOKUP($A11,字段列表!$A:$G,3,0)</f>
        <v>VARCHAR</v>
      </c>
      <c r="E11" s="47" t="str">
        <f>VLOOKUP($A11,字段列表!$A:$G,5,0)</f>
        <v>Y</v>
      </c>
      <c r="F11" s="47" t="str">
        <f>VLOOKUP($A11,字段列表!$A:$G,6,0)</f>
        <v>Y</v>
      </c>
      <c r="G11" s="47" t="str">
        <f>VLOOKUP($A11,字段列表!$A:$G,7,0)</f>
        <v>SEL-2</v>
      </c>
      <c r="H11" s="1"/>
    </row>
    <row r="12" spans="1:8" ht="45" customHeight="1" x14ac:dyDescent="0.25">
      <c r="A12" s="70" t="s">
        <v>165</v>
      </c>
      <c r="B12" s="50" t="str">
        <f>VLOOKUP(A12,字段列表!$A:$G,2,0)</f>
        <v>productLine</v>
      </c>
      <c r="C12" s="8" t="s">
        <v>38</v>
      </c>
      <c r="D12" s="47" t="str">
        <f>VLOOKUP($A12,字段列表!$A:$G,3,0)</f>
        <v>VARCHAR</v>
      </c>
      <c r="E12" s="47" t="str">
        <f>VLOOKUP($A12,字段列表!$A:$G,5,0)</f>
        <v>-</v>
      </c>
      <c r="F12" s="47" t="str">
        <f>VLOOKUP($A12,字段列表!$A:$G,6,0)</f>
        <v>Y</v>
      </c>
      <c r="G12" s="47" t="str">
        <f>VLOOKUP($A12,字段列表!$A:$G,7,0)</f>
        <v>SEL-2</v>
      </c>
      <c r="H12" s="1"/>
    </row>
    <row r="13" spans="1:8" ht="45" customHeight="1" x14ac:dyDescent="0.25">
      <c r="A13" s="70" t="s">
        <v>23</v>
      </c>
      <c r="B13" s="50" t="str">
        <f>VLOOKUP(A13,字段列表!$A:$G,2,0)</f>
        <v>materialCode</v>
      </c>
      <c r="C13" s="8" t="s">
        <v>15</v>
      </c>
      <c r="D13" s="47" t="str">
        <f>VLOOKUP($A13,字段列表!$A:$G,3,0)</f>
        <v>VARCHAR</v>
      </c>
      <c r="E13" s="47" t="str">
        <f>VLOOKUP($A13,字段列表!$A:$G,5,0)</f>
        <v>Y</v>
      </c>
      <c r="F13" s="47" t="str">
        <f>VLOOKUP($A13,字段列表!$A:$G,6,0)</f>
        <v>Y</v>
      </c>
      <c r="G13" s="47" t="str">
        <f>VLOOKUP($A13,字段列表!$A:$G,7,0)</f>
        <v>TXT-1</v>
      </c>
      <c r="H13" s="1"/>
    </row>
    <row r="14" spans="1:8" ht="45" customHeight="1" x14ac:dyDescent="0.25">
      <c r="A14" s="70" t="s">
        <v>27</v>
      </c>
      <c r="B14" s="50" t="str">
        <f>VLOOKUP(A14,字段列表!$A:$G,2,0)</f>
        <v>materialDes</v>
      </c>
      <c r="C14" s="8" t="s">
        <v>15</v>
      </c>
      <c r="D14" s="47" t="str">
        <f>VLOOKUP($A14,字段列表!$A:$G,3,0)</f>
        <v>VARCHAR</v>
      </c>
      <c r="E14" s="47" t="str">
        <f>VLOOKUP($A14,字段列表!$A:$G,5,0)</f>
        <v>-</v>
      </c>
      <c r="F14" s="47" t="str">
        <f>VLOOKUP($A14,字段列表!$A:$G,6,0)</f>
        <v>Y</v>
      </c>
      <c r="G14" s="47" t="str">
        <f>VLOOKUP($A14,字段列表!$A:$G,7,0)</f>
        <v>TXT-2</v>
      </c>
      <c r="H14" s="1"/>
    </row>
    <row r="15" spans="1:8" ht="45" customHeight="1" x14ac:dyDescent="0.25">
      <c r="A15" s="70" t="s">
        <v>103</v>
      </c>
      <c r="B15" s="50" t="str">
        <f>VLOOKUP(A15,字段列表!$A:$G,2,0)</f>
        <v>dieStackQty</v>
      </c>
      <c r="C15" s="8" t="s">
        <v>179</v>
      </c>
      <c r="D15" s="47" t="str">
        <f>VLOOKUP($A15,字段列表!$A:$G,3,0)</f>
        <v>VARCHAR</v>
      </c>
      <c r="E15" s="47" t="str">
        <f>VLOOKUP($A15,字段列表!$A:$G,5,0)</f>
        <v>-</v>
      </c>
      <c r="F15" s="47" t="str">
        <f>VLOOKUP($A15,字段列表!$A:$G,6,0)</f>
        <v>Y</v>
      </c>
      <c r="G15" s="47" t="str">
        <f>VLOOKUP($A15,字段列表!$A:$G,7,0)</f>
        <v>TXT-2</v>
      </c>
      <c r="H15" s="1"/>
    </row>
    <row r="16" spans="1:8" ht="45" customHeight="1" x14ac:dyDescent="0.25">
      <c r="A16" s="70" t="s">
        <v>24</v>
      </c>
      <c r="B16" s="50" t="str">
        <f>VLOOKUP(A16,字段列表!$A:$G,2,0)</f>
        <v>productCategory</v>
      </c>
      <c r="C16" s="8" t="s">
        <v>15</v>
      </c>
      <c r="D16" s="47" t="str">
        <f>VLOOKUP($A16,字段列表!$A:$G,3,0)</f>
        <v>VARCHAR</v>
      </c>
      <c r="E16" s="47" t="str">
        <f>VLOOKUP($A16,字段列表!$A:$G,5,0)</f>
        <v>-</v>
      </c>
      <c r="F16" s="47" t="str">
        <f>VLOOKUP($A16,字段列表!$A:$G,6,0)</f>
        <v>Y</v>
      </c>
      <c r="G16" s="47" t="str">
        <f>VLOOKUP($A16,字段列表!$A:$G,7,0)</f>
        <v>SEL-2</v>
      </c>
      <c r="H16" s="1"/>
    </row>
    <row r="17" spans="1:8" ht="45" customHeight="1" x14ac:dyDescent="0.25">
      <c r="A17" s="70" t="s">
        <v>25</v>
      </c>
      <c r="B17" s="50" t="str">
        <f>VLOOKUP(A17,字段列表!$A:$G,2,0)</f>
        <v>capacity</v>
      </c>
      <c r="C17" s="8" t="s">
        <v>15</v>
      </c>
      <c r="D17" s="47" t="str">
        <f>VLOOKUP($A17,字段列表!$A:$G,3,0)</f>
        <v>VARCHAR</v>
      </c>
      <c r="E17" s="47" t="str">
        <f>VLOOKUP($A17,字段列表!$A:$G,5,0)</f>
        <v>-</v>
      </c>
      <c r="F17" s="47" t="str">
        <f>VLOOKUP($A17,字段列表!$A:$G,6,0)</f>
        <v>Y</v>
      </c>
      <c r="G17" s="47" t="str">
        <f>VLOOKUP($A17,字段列表!$A:$G,7,0)</f>
        <v>SEL-2</v>
      </c>
      <c r="H17" s="1"/>
    </row>
    <row r="18" spans="1:8" ht="45" customHeight="1" x14ac:dyDescent="0.25">
      <c r="A18" s="70" t="s">
        <v>26</v>
      </c>
      <c r="B18" s="50" t="str">
        <f>VLOOKUP(A18,字段列表!$A:$G,2,0)</f>
        <v>productPn</v>
      </c>
      <c r="C18" s="8" t="s">
        <v>15</v>
      </c>
      <c r="D18" s="47" t="str">
        <f>VLOOKUP($A18,字段列表!$A:$G,3,0)</f>
        <v>VARCHAR</v>
      </c>
      <c r="E18" s="47" t="str">
        <f>VLOOKUP($A18,字段列表!$A:$G,5,0)</f>
        <v>-</v>
      </c>
      <c r="F18" s="47" t="str">
        <f>VLOOKUP($A18,字段列表!$A:$G,6,0)</f>
        <v>Y</v>
      </c>
      <c r="G18" s="47" t="str">
        <f>VLOOKUP($A18,字段列表!$A:$G,7,0)</f>
        <v>TXT-2</v>
      </c>
      <c r="H18" s="1"/>
    </row>
    <row r="19" spans="1:8" ht="45" customHeight="1" x14ac:dyDescent="0.25">
      <c r="A19" s="70" t="s">
        <v>28</v>
      </c>
      <c r="B19" s="50" t="str">
        <f>VLOOKUP(A19,字段列表!$A:$G,2,0)</f>
        <v>orderQty</v>
      </c>
      <c r="C19" s="8" t="s">
        <v>38</v>
      </c>
      <c r="D19" s="47" t="str">
        <f>VLOOKUP($A19,字段列表!$A:$G,3,0)</f>
        <v>VARCHAR</v>
      </c>
      <c r="E19" s="47" t="str">
        <f>VLOOKUP($A19,字段列表!$A:$G,5,0)</f>
        <v>-</v>
      </c>
      <c r="F19" s="47" t="str">
        <f>VLOOKUP($A19,字段列表!$A:$G,6,0)</f>
        <v>Y</v>
      </c>
      <c r="G19" s="47" t="str">
        <f>VLOOKUP($A19,字段列表!$A:$G,7,0)</f>
        <v>NUM</v>
      </c>
      <c r="H19" s="1"/>
    </row>
    <row r="20" spans="1:8" ht="45" customHeight="1" x14ac:dyDescent="0.25">
      <c r="A20" s="70" t="s">
        <v>29</v>
      </c>
      <c r="B20" s="50" t="str">
        <f>VLOOKUP(A20,字段列表!$A:$G,2,0)</f>
        <v>requiredCompletionDate</v>
      </c>
      <c r="C20" s="8" t="s">
        <v>38</v>
      </c>
      <c r="D20" s="47" t="str">
        <f>VLOOKUP($A20,字段列表!$A:$G,3,0)</f>
        <v>Date</v>
      </c>
      <c r="E20" s="47" t="str">
        <f>VLOOKUP($A20,字段列表!$A:$G,5,0)</f>
        <v>Y</v>
      </c>
      <c r="F20" s="47" t="str">
        <f>VLOOKUP($A20,字段列表!$A:$G,6,0)</f>
        <v>Y</v>
      </c>
      <c r="G20" s="47" t="str">
        <f>VLOOKUP($A20,字段列表!$A:$G,7,0)</f>
        <v>DATA</v>
      </c>
      <c r="H20" s="2"/>
    </row>
    <row r="21" spans="1:8" ht="45" customHeight="1" x14ac:dyDescent="0.25">
      <c r="A21" s="70" t="s">
        <v>17</v>
      </c>
      <c r="B21" s="50" t="str">
        <f>VLOOKUP(A21,字段列表!$A:$G,2,0)</f>
        <v>workOrderCategory</v>
      </c>
      <c r="C21" s="8" t="s">
        <v>15</v>
      </c>
      <c r="D21" s="47" t="str">
        <f>VLOOKUP($A21,字段列表!$A:$G,3,0)</f>
        <v>VARCHAR</v>
      </c>
      <c r="E21" s="47" t="str">
        <f>VLOOKUP($A21,字段列表!$A:$G,5,0)</f>
        <v>-</v>
      </c>
      <c r="F21" s="47" t="str">
        <f>VLOOKUP($A21,字段列表!$A:$G,6,0)</f>
        <v>Y</v>
      </c>
      <c r="G21" s="47" t="str">
        <f>VLOOKUP($A21,字段列表!$A:$G,7,0)</f>
        <v>SEL-2</v>
      </c>
      <c r="H21" s="1"/>
    </row>
    <row r="22" spans="1:8" ht="45" customHeight="1" x14ac:dyDescent="0.25">
      <c r="A22" s="70" t="s">
        <v>30</v>
      </c>
      <c r="B22" s="50" t="str">
        <f>VLOOKUP(A22,字段列表!$A:$G,2,0)</f>
        <v>workOrderStatus</v>
      </c>
      <c r="C22" s="8" t="s">
        <v>15</v>
      </c>
      <c r="D22" s="47" t="str">
        <f>VLOOKUP($A22,字段列表!$A:$G,3,0)</f>
        <v>VARCHAR</v>
      </c>
      <c r="E22" s="47" t="str">
        <f>VLOOKUP($A22,字段列表!$A:$G,5,0)</f>
        <v>-</v>
      </c>
      <c r="F22" s="47" t="str">
        <f>VLOOKUP($A22,字段列表!$A:$G,6,0)</f>
        <v>Y</v>
      </c>
      <c r="G22" s="47" t="str">
        <f>VLOOKUP($A22,字段列表!$A:$G,7,0)</f>
        <v>SEL-2</v>
      </c>
      <c r="H22" s="1"/>
    </row>
    <row r="23" spans="1:8" ht="45" customHeight="1" x14ac:dyDescent="0.25">
      <c r="A23" s="70" t="s">
        <v>0</v>
      </c>
      <c r="B23" s="50" t="str">
        <f>VLOOKUP(A23,字段列表!$A:$G,2,0)</f>
        <v>workOrderNo</v>
      </c>
      <c r="C23" s="8" t="s">
        <v>98</v>
      </c>
      <c r="D23" s="47" t="str">
        <f>VLOOKUP($A23,字段列表!$A:$G,3,0)</f>
        <v>VARCHAR</v>
      </c>
      <c r="E23" s="47" t="str">
        <f>VLOOKUP($A23,字段列表!$A:$G,5,0)</f>
        <v>Y</v>
      </c>
      <c r="F23" s="47" t="str">
        <f>VLOOKUP($A23,字段列表!$A:$G,6,0)</f>
        <v>Y</v>
      </c>
      <c r="G23" s="47" t="str">
        <f>VLOOKUP($A23,字段列表!$A:$G,7,0)</f>
        <v>TXT-1</v>
      </c>
      <c r="H23" s="1"/>
    </row>
    <row r="24" spans="1:8" ht="45" customHeight="1" x14ac:dyDescent="0.25">
      <c r="A24" s="70" t="s">
        <v>49</v>
      </c>
      <c r="B24" s="50" t="str">
        <f>VLOOKUP(A24,字段列表!$A:$G,2,0)</f>
        <v>workOrderPriority</v>
      </c>
      <c r="C24" s="8" t="s">
        <v>50</v>
      </c>
      <c r="D24" s="47" t="str">
        <f>VLOOKUP($A24,字段列表!$A:$G,3,0)</f>
        <v>INT</v>
      </c>
      <c r="E24" s="47" t="s">
        <v>385</v>
      </c>
      <c r="F24" s="47" t="str">
        <f>VLOOKUP($A24,字段列表!$A:$G,6,0)</f>
        <v>Y</v>
      </c>
      <c r="G24" s="47" t="str">
        <f>VLOOKUP($A24,字段列表!$A:$G,7,0)</f>
        <v>NUM</v>
      </c>
      <c r="H24" s="1"/>
    </row>
    <row r="25" spans="1:8" ht="45" customHeight="1" x14ac:dyDescent="0.25">
      <c r="A25" s="70" t="s">
        <v>31</v>
      </c>
      <c r="B25" s="50" t="str">
        <f>VLOOKUP(A25,字段列表!$A:$G,2,0)</f>
        <v>transferBy</v>
      </c>
      <c r="C25" s="8" t="s">
        <v>15</v>
      </c>
      <c r="D25" s="47" t="str">
        <f>VLOOKUP($A25,字段列表!$A:$G,3,0)</f>
        <v>VARCHAR</v>
      </c>
      <c r="E25" s="47" t="str">
        <f>VLOOKUP($A25,字段列表!$A:$G,5,0)</f>
        <v>-</v>
      </c>
      <c r="F25" s="47" t="str">
        <f>VLOOKUP($A25,字段列表!$A:$G,6,0)</f>
        <v>Y</v>
      </c>
      <c r="G25" s="47" t="str">
        <f>VLOOKUP($A25,字段列表!$A:$G,7,0)</f>
        <v>TXT-2</v>
      </c>
      <c r="H25" s="1"/>
    </row>
    <row r="26" spans="1:8" ht="45" customHeight="1" x14ac:dyDescent="0.25">
      <c r="A26" s="70" t="s">
        <v>32</v>
      </c>
      <c r="B26" s="50" t="str">
        <f>VLOOKUP(A26,字段列表!$A:$G,2,0)</f>
        <v>transferTime</v>
      </c>
      <c r="C26" s="8" t="s">
        <v>15</v>
      </c>
      <c r="D26" s="47" t="str">
        <f>VLOOKUP($A26,字段列表!$A:$G,3,0)</f>
        <v>Date</v>
      </c>
      <c r="E26" s="47" t="str">
        <f>VLOOKUP($A26,字段列表!$A:$G,5,0)</f>
        <v>-</v>
      </c>
      <c r="F26" s="47" t="str">
        <f>VLOOKUP($A26,字段列表!$A:$G,6,0)</f>
        <v>Y</v>
      </c>
      <c r="G26" s="47" t="str">
        <f>VLOOKUP($A26,字段列表!$A:$G,7,0)</f>
        <v>DATA</v>
      </c>
      <c r="H26" s="1"/>
    </row>
    <row r="27" spans="1:8" ht="45" customHeight="1" x14ac:dyDescent="0.25">
      <c r="A27" s="70" t="s">
        <v>33</v>
      </c>
      <c r="B27" s="50" t="str">
        <f>VLOOKUP(A27,字段列表!$A:$G,2,0)</f>
        <v>transferQty</v>
      </c>
      <c r="C27" s="8" t="s">
        <v>15</v>
      </c>
      <c r="D27" s="47" t="str">
        <f>VLOOKUP($A27,字段列表!$A:$G,3,0)</f>
        <v>VARCHAR</v>
      </c>
      <c r="E27" s="47" t="str">
        <f>VLOOKUP($A27,字段列表!$A:$G,5,0)</f>
        <v>-</v>
      </c>
      <c r="F27" s="47" t="str">
        <f>VLOOKUP($A27,字段列表!$A:$G,6,0)</f>
        <v>Y</v>
      </c>
      <c r="G27" s="47" t="str">
        <f>VLOOKUP($A27,字段列表!$A:$G,7,0)</f>
        <v>NUM</v>
      </c>
      <c r="H27" s="1"/>
    </row>
    <row r="28" spans="1:8" ht="45" customHeight="1" x14ac:dyDescent="0.25">
      <c r="A28" s="70" t="s">
        <v>35</v>
      </c>
      <c r="B28" s="50" t="str">
        <f>VLOOKUP(A28,字段列表!$A:$G,2,0)</f>
        <v>completedQty</v>
      </c>
      <c r="C28" s="8" t="s">
        <v>15</v>
      </c>
      <c r="D28" s="47" t="str">
        <f>VLOOKUP($A28,字段列表!$A:$G,3,0)</f>
        <v>VARCHAR</v>
      </c>
      <c r="E28" s="47" t="str">
        <f>VLOOKUP($A28,字段列表!$A:$G,5,0)</f>
        <v>-</v>
      </c>
      <c r="F28" s="47" t="str">
        <f>VLOOKUP($A28,字段列表!$A:$G,6,0)</f>
        <v>Y</v>
      </c>
      <c r="G28" s="47" t="str">
        <f>VLOOKUP($A28,字段列表!$A:$G,7,0)</f>
        <v>NUM</v>
      </c>
      <c r="H28" s="1"/>
    </row>
    <row r="29" spans="1:8" ht="45" customHeight="1" x14ac:dyDescent="0.25">
      <c r="A29" s="70" t="s">
        <v>36</v>
      </c>
      <c r="B29" s="50" t="str">
        <f>VLOOKUP(A29,字段列表!$A:$G,2,0)</f>
        <v>scrapQty</v>
      </c>
      <c r="C29" s="8" t="s">
        <v>15</v>
      </c>
      <c r="D29" s="47" t="str">
        <f>VLOOKUP($A29,字段列表!$A:$G,3,0)</f>
        <v>VARCHAR</v>
      </c>
      <c r="E29" s="47" t="str">
        <f>VLOOKUP($A29,字段列表!$A:$G,5,0)</f>
        <v>-</v>
      </c>
      <c r="F29" s="47" t="str">
        <f>VLOOKUP($A29,字段列表!$A:$G,6,0)</f>
        <v>Y</v>
      </c>
      <c r="G29" s="47" t="str">
        <f>VLOOKUP($A29,字段列表!$A:$G,7,0)</f>
        <v>NUM</v>
      </c>
      <c r="H29" s="1"/>
    </row>
    <row r="30" spans="1:8" ht="45" customHeight="1" x14ac:dyDescent="0.25">
      <c r="A30" s="70" t="s">
        <v>34</v>
      </c>
      <c r="B30" s="50" t="str">
        <f>VLOOKUP(A30,字段列表!$A:$G,2,0)</f>
        <v>incompleteQty</v>
      </c>
      <c r="C30" s="8" t="s">
        <v>15</v>
      </c>
      <c r="D30" s="47" t="str">
        <f>VLOOKUP($A30,字段列表!$A:$G,3,0)</f>
        <v>VARCHAR</v>
      </c>
      <c r="E30" s="47" t="str">
        <f>VLOOKUP($A30,字段列表!$A:$G,5,0)</f>
        <v>-</v>
      </c>
      <c r="F30" s="47" t="str">
        <f>VLOOKUP($A30,字段列表!$A:$G,6,0)</f>
        <v>Y</v>
      </c>
      <c r="G30" s="47" t="str">
        <f>VLOOKUP($A30,字段列表!$A:$G,7,0)</f>
        <v>NUM</v>
      </c>
      <c r="H30" s="1"/>
    </row>
    <row r="31" spans="1:8" ht="45" customHeight="1" x14ac:dyDescent="0.25">
      <c r="A31" s="70" t="s">
        <v>346</v>
      </c>
      <c r="B31" s="50" t="str">
        <f>VLOOKUP(A31,字段列表!$A:$G,2,0)</f>
        <v>supplierCode</v>
      </c>
      <c r="C31" s="8" t="s">
        <v>15</v>
      </c>
      <c r="D31" s="47" t="str">
        <f>VLOOKUP($A31,字段列表!$A:$G,3,0)</f>
        <v>VARCHAR</v>
      </c>
      <c r="E31" s="47" t="str">
        <f>VLOOKUP($A31,字段列表!$A:$G,5,0)</f>
        <v>-</v>
      </c>
      <c r="F31" s="47" t="str">
        <f>VLOOKUP($A31,字段列表!$A:$G,6,0)</f>
        <v>Y</v>
      </c>
      <c r="G31" s="47" t="str">
        <f>VLOOKUP($A31,字段列表!$A:$G,7,0)</f>
        <v>SEL-2</v>
      </c>
      <c r="H31" s="1"/>
    </row>
    <row r="32" spans="1:8" ht="45" customHeight="1" x14ac:dyDescent="0.25">
      <c r="A32" s="70" t="s">
        <v>347</v>
      </c>
      <c r="B32" s="50" t="str">
        <f>VLOOKUP(A32,字段列表!$A:$G,2,0)</f>
        <v>supplierDesc</v>
      </c>
      <c r="C32" s="8" t="s">
        <v>15</v>
      </c>
      <c r="D32" s="47" t="str">
        <f>VLOOKUP($A32,字段列表!$A:$G,3,0)</f>
        <v>VARCHAR</v>
      </c>
      <c r="E32" s="47" t="str">
        <f>VLOOKUP($A32,字段列表!$A:$G,5,0)</f>
        <v>-</v>
      </c>
      <c r="F32" s="47" t="str">
        <f>VLOOKUP($A32,字段列表!$A:$G,6,0)</f>
        <v>-</v>
      </c>
      <c r="G32" s="47" t="str">
        <f>VLOOKUP($A32,字段列表!$A:$G,7,0)</f>
        <v>-</v>
      </c>
      <c r="H32" s="4"/>
    </row>
    <row r="33" spans="1:8" ht="45" customHeight="1" x14ac:dyDescent="0.25">
      <c r="A33" s="70" t="s">
        <v>5</v>
      </c>
      <c r="B33" s="50" t="str">
        <f>VLOOKUP(A33,字段列表!$A:$G,2,0)</f>
        <v>requiredMaterialDate</v>
      </c>
      <c r="C33" s="8" t="s">
        <v>92</v>
      </c>
      <c r="D33" s="47" t="str">
        <f>VLOOKUP($A33,字段列表!$A:$G,3,0)</f>
        <v>Date</v>
      </c>
      <c r="E33" s="47" t="str">
        <f>VLOOKUP($A33,字段列表!$A:$G,5,0)</f>
        <v>-</v>
      </c>
      <c r="F33" s="47" t="str">
        <f>VLOOKUP($A33,字段列表!$A:$G,6,0)</f>
        <v>Y</v>
      </c>
      <c r="G33" s="47" t="str">
        <f>VLOOKUP($A33,字段列表!$A:$G,7,0)</f>
        <v>DATA</v>
      </c>
      <c r="H33" s="4"/>
    </row>
    <row r="34" spans="1:8" ht="45" customHeight="1" x14ac:dyDescent="0.25">
      <c r="A34" s="70" t="s">
        <v>1</v>
      </c>
      <c r="B34" s="50" t="str">
        <f>VLOOKUP(A34,字段列表!$A:$G,2,0)</f>
        <v>componentMaterialCode</v>
      </c>
      <c r="C34" s="8" t="s">
        <v>99</v>
      </c>
      <c r="D34" s="47" t="str">
        <f>VLOOKUP($A34,字段列表!$A:$G,3,0)</f>
        <v>VARCHAR</v>
      </c>
      <c r="E34" s="47" t="str">
        <f>VLOOKUP($A34,字段列表!$A:$G,5,0)</f>
        <v>Y</v>
      </c>
      <c r="F34" s="47" t="str">
        <f>VLOOKUP($A34,字段列表!$A:$G,6,0)</f>
        <v>Y</v>
      </c>
      <c r="G34" s="47" t="str">
        <f>VLOOKUP($A34,字段列表!$A:$G,7,0)</f>
        <v>TXT-1</v>
      </c>
      <c r="H34" s="1"/>
    </row>
    <row r="35" spans="1:8" ht="45" customHeight="1" x14ac:dyDescent="0.25">
      <c r="A35" s="70" t="s">
        <v>2</v>
      </c>
      <c r="B35" s="50" t="str">
        <f>VLOOKUP(A35,字段列表!$A:$G,2,0)</f>
        <v>componentMaterialDesc</v>
      </c>
      <c r="C35" s="8" t="s">
        <v>39</v>
      </c>
      <c r="D35" s="47" t="str">
        <f>VLOOKUP($A35,字段列表!$A:$G,3,0)</f>
        <v>VARCHAR</v>
      </c>
      <c r="E35" s="47" t="str">
        <f>VLOOKUP($A35,字段列表!$A:$G,5,0)</f>
        <v>-</v>
      </c>
      <c r="F35" s="47" t="str">
        <f>VLOOKUP($A35,字段列表!$A:$G,6,0)</f>
        <v>Y</v>
      </c>
      <c r="G35" s="47" t="str">
        <f>VLOOKUP($A35,字段列表!$A:$G,7,0)</f>
        <v>TXT-2</v>
      </c>
      <c r="H35" s="1"/>
    </row>
    <row r="36" spans="1:8" ht="45" customHeight="1" x14ac:dyDescent="0.25">
      <c r="A36" s="70" t="s">
        <v>546</v>
      </c>
      <c r="B36" s="50" t="str">
        <f>VLOOKUP(A36,字段列表!$A:$G,2,0)</f>
        <v>componentLeadTime</v>
      </c>
      <c r="C36" s="8" t="s">
        <v>40</v>
      </c>
      <c r="D36" s="47" t="str">
        <f>VLOOKUP($A36,字段列表!$A:$G,3,0)</f>
        <v>VARCHAR</v>
      </c>
      <c r="E36" s="47" t="str">
        <f>VLOOKUP($A36,字段列表!$A:$G,5,0)</f>
        <v>-</v>
      </c>
      <c r="F36" s="47" t="str">
        <f>VLOOKUP($A36,字段列表!$A:$G,6,0)</f>
        <v>Y</v>
      </c>
      <c r="G36" s="47" t="str">
        <f>VLOOKUP($A36,字段列表!$A:$G,7,0)</f>
        <v>NUM</v>
      </c>
      <c r="H36" s="5"/>
    </row>
    <row r="37" spans="1:8" ht="45" customHeight="1" x14ac:dyDescent="0.25">
      <c r="A37" s="70" t="s">
        <v>47</v>
      </c>
      <c r="B37" s="50" t="str">
        <f>VLOOKUP(A37,字段列表!$A:$G,2,0)</f>
        <v>componentCategory</v>
      </c>
      <c r="C37" s="8" t="s">
        <v>48</v>
      </c>
      <c r="D37" s="47" t="str">
        <f>VLOOKUP($A37,字段列表!$A:$G,3,0)</f>
        <v>VARCHAR</v>
      </c>
      <c r="E37" s="47" t="str">
        <f>VLOOKUP($A37,字段列表!$A:$G,5,0)</f>
        <v>-</v>
      </c>
      <c r="F37" s="47" t="str">
        <f>VLOOKUP($A37,字段列表!$A:$G,6,0)</f>
        <v>Y</v>
      </c>
      <c r="G37" s="47" t="str">
        <f>VLOOKUP($A37,字段列表!$A:$G,7,0)</f>
        <v>SEL-2</v>
      </c>
      <c r="H37" s="5"/>
    </row>
    <row r="38" spans="1:8" ht="45" customHeight="1" x14ac:dyDescent="0.25">
      <c r="A38" s="70" t="s">
        <v>3</v>
      </c>
      <c r="B38" s="50" t="str">
        <f>VLOOKUP(A38,字段列表!$A:$G,2,0)</f>
        <v>componentType</v>
      </c>
      <c r="C38" s="8" t="s">
        <v>571</v>
      </c>
      <c r="D38" s="47" t="str">
        <f>VLOOKUP($A38,字段列表!$A:$G,3,0)</f>
        <v>VARCHAR</v>
      </c>
      <c r="E38" s="47" t="str">
        <f>VLOOKUP($A38,字段列表!$A:$G,5,0)</f>
        <v>-</v>
      </c>
      <c r="F38" s="47" t="str">
        <f>VLOOKUP($A38,字段列表!$A:$G,6,0)</f>
        <v>Y</v>
      </c>
      <c r="G38" s="47" t="str">
        <f>VLOOKUP($A38,字段列表!$A:$G,7,0)</f>
        <v>SEL-2</v>
      </c>
      <c r="H38" s="4"/>
    </row>
    <row r="39" spans="1:8" ht="45" customHeight="1" x14ac:dyDescent="0.25">
      <c r="A39" s="70" t="s">
        <v>10</v>
      </c>
      <c r="B39" s="50" t="str">
        <f>VLOOKUP(A39,字段列表!$A:$G,2,0)</f>
        <v>componentResponsibleParty</v>
      </c>
      <c r="C39" s="8" t="s">
        <v>572</v>
      </c>
      <c r="D39" s="47" t="str">
        <f>VLOOKUP($A39,字段列表!$A:$G,3,0)</f>
        <v>VARCHAR</v>
      </c>
      <c r="E39" s="47" t="str">
        <f>VLOOKUP($A39,字段列表!$A:$G,5,0)</f>
        <v>Y</v>
      </c>
      <c r="F39" s="47" t="str">
        <f>VLOOKUP($A39,字段列表!$A:$G,6,0)</f>
        <v>Y</v>
      </c>
      <c r="G39" s="47" t="str">
        <f>VLOOKUP($A39,字段列表!$A:$G,7,0)</f>
        <v>TXT-2</v>
      </c>
      <c r="H39" s="4"/>
    </row>
    <row r="40" spans="1:8" s="29" customFormat="1" ht="45" customHeight="1" x14ac:dyDescent="0.25">
      <c r="A40" s="71" t="s">
        <v>403</v>
      </c>
      <c r="B40" s="26" t="str">
        <f>VLOOKUP(A40,字段列表!$A:$G,2,0)</f>
        <v>isResource</v>
      </c>
      <c r="C40" s="26" t="s">
        <v>420</v>
      </c>
      <c r="D40" s="47" t="str">
        <f>VLOOKUP($A40,字段列表!$A:$G,3,0)</f>
        <v>Boolean</v>
      </c>
      <c r="E40" s="47" t="str">
        <f>VLOOKUP($A40,字段列表!$A:$G,5,0)</f>
        <v>-</v>
      </c>
      <c r="F40" s="47" t="str">
        <f>VLOOKUP($A40,字段列表!$A:$G,6,0)</f>
        <v>Y</v>
      </c>
      <c r="G40" s="47" t="str">
        <f>VLOOKUP($A40,字段列表!$A:$G,7,0)</f>
        <v>SEL-1</v>
      </c>
      <c r="H40" s="57" t="s">
        <v>408</v>
      </c>
    </row>
    <row r="41" spans="1:8" ht="45" customHeight="1" x14ac:dyDescent="0.25">
      <c r="A41" s="70" t="s">
        <v>41</v>
      </c>
      <c r="B41" s="50" t="str">
        <f>VLOOKUP(A41,字段列表!$A:$G,2,0)</f>
        <v>unitUsage</v>
      </c>
      <c r="C41" s="8" t="s">
        <v>90</v>
      </c>
      <c r="D41" s="47" t="str">
        <f>VLOOKUP($A41,字段列表!$A:$G,3,0)</f>
        <v>VARCHAR</v>
      </c>
      <c r="E41" s="47" t="str">
        <f>VLOOKUP($A41,字段列表!$A:$G,5,0)</f>
        <v>-</v>
      </c>
      <c r="F41" s="47" t="str">
        <f>VLOOKUP($A41,字段列表!$A:$G,6,0)</f>
        <v>Y</v>
      </c>
      <c r="G41" s="47" t="str">
        <f>VLOOKUP($A41,字段列表!$A:$G,7,0)</f>
        <v>NUM</v>
      </c>
      <c r="H41" s="3"/>
    </row>
    <row r="42" spans="1:8" ht="45" customHeight="1" x14ac:dyDescent="0.25">
      <c r="A42" s="70" t="s">
        <v>86</v>
      </c>
      <c r="B42" s="50" t="str">
        <f>VLOOKUP(A42,字段列表!$A:$G,2,0)</f>
        <v>isRequired</v>
      </c>
      <c r="C42" s="8" t="s">
        <v>88</v>
      </c>
      <c r="D42" s="47" t="str">
        <f>VLOOKUP($A42,字段列表!$A:$G,3,0)</f>
        <v>VARCHAR</v>
      </c>
      <c r="E42" s="47" t="str">
        <f>VLOOKUP($A42,字段列表!$A:$G,5,0)</f>
        <v>-</v>
      </c>
      <c r="F42" s="47" t="str">
        <f>VLOOKUP($A42,字段列表!$A:$G,6,0)</f>
        <v>Y</v>
      </c>
      <c r="G42" s="47" t="str">
        <f>VLOOKUP($A42,字段列表!$A:$G,7,0)</f>
        <v>NUM</v>
      </c>
      <c r="H42" s="1"/>
    </row>
    <row r="43" spans="1:8" ht="45" customHeight="1" x14ac:dyDescent="0.25">
      <c r="A43" s="70" t="s">
        <v>4</v>
      </c>
      <c r="B43" s="50" t="str">
        <f>VLOOKUP(A43,字段列表!$A:$G,2,0)</f>
        <v>yieldRate</v>
      </c>
      <c r="C43" s="8" t="s">
        <v>91</v>
      </c>
      <c r="D43" s="47" t="str">
        <f>VLOOKUP($A43,字段列表!$A:$G,3,0)</f>
        <v>VARCHAR</v>
      </c>
      <c r="E43" s="47" t="str">
        <f>VLOOKUP($A43,字段列表!$A:$G,5,0)</f>
        <v>-</v>
      </c>
      <c r="F43" s="47" t="str">
        <f>VLOOKUP($A43,字段列表!$A:$G,6,0)</f>
        <v>Y</v>
      </c>
      <c r="G43" s="47" t="str">
        <f>VLOOKUP($A43,字段列表!$A:$G,7,0)</f>
        <v>NUM</v>
      </c>
      <c r="H43" s="1"/>
    </row>
    <row r="44" spans="1:8" ht="45" customHeight="1" x14ac:dyDescent="0.25">
      <c r="A44" s="70" t="s">
        <v>42</v>
      </c>
      <c r="B44" s="50" t="str">
        <f>VLOOKUP(A44,字段列表!$A:$G,2,0)</f>
        <v>issuedQty</v>
      </c>
      <c r="C44" s="8" t="s">
        <v>87</v>
      </c>
      <c r="D44" s="47" t="str">
        <f>VLOOKUP($A44,字段列表!$A:$G,3,0)</f>
        <v>VARCHAR</v>
      </c>
      <c r="E44" s="47" t="str">
        <f>VLOOKUP($A44,字段列表!$A:$G,5,0)</f>
        <v>-</v>
      </c>
      <c r="F44" s="47" t="str">
        <f>VLOOKUP($A44,字段列表!$A:$G,6,0)</f>
        <v>Y</v>
      </c>
      <c r="G44" s="47" t="str">
        <f>VLOOKUP($A44,字段列表!$A:$G,7,0)</f>
        <v>NUM</v>
      </c>
      <c r="H44" s="1"/>
    </row>
    <row r="45" spans="1:8" ht="45" customHeight="1" x14ac:dyDescent="0.25">
      <c r="A45" s="70" t="s">
        <v>94</v>
      </c>
      <c r="B45" s="50" t="str">
        <f>VLOOKUP(A45,字段列表!$A:$G,2,0)</f>
        <v>unIssuedQty</v>
      </c>
      <c r="C45" s="8" t="s">
        <v>89</v>
      </c>
      <c r="D45" s="47" t="str">
        <f>VLOOKUP($A45,字段列表!$A:$G,3,0)</f>
        <v>VARCHAR</v>
      </c>
      <c r="E45" s="47" t="str">
        <f>VLOOKUP($A45,字段列表!$A:$G,5,0)</f>
        <v>-</v>
      </c>
      <c r="F45" s="47" t="str">
        <f>VLOOKUP($A45,字段列表!$A:$G,6,0)</f>
        <v>Y</v>
      </c>
      <c r="G45" s="47" t="str">
        <f>VLOOKUP($A45,字段列表!$A:$G,7,0)</f>
        <v>NUM</v>
      </c>
      <c r="H45" s="1"/>
    </row>
    <row r="46" spans="1:8" ht="45" customHeight="1" x14ac:dyDescent="0.25">
      <c r="A46" s="70" t="s">
        <v>84</v>
      </c>
      <c r="B46" s="50" t="str">
        <f>VLOOKUP(A46,字段列表!$A:$G,2,0)</f>
        <v>availableQty</v>
      </c>
      <c r="C46" s="8" t="s">
        <v>85</v>
      </c>
      <c r="D46" s="47" t="str">
        <f>VLOOKUP($A46,字段列表!$A:$G,3,0)</f>
        <v>VARCHAR</v>
      </c>
      <c r="E46" s="47" t="str">
        <f>VLOOKUP($A46,字段列表!$A:$G,5,0)</f>
        <v>-</v>
      </c>
      <c r="F46" s="47" t="str">
        <f>VLOOKUP($A46,字段列表!$A:$G,6,0)</f>
        <v>Y</v>
      </c>
      <c r="G46" s="47" t="str">
        <f>VLOOKUP($A46,字段列表!$A:$G,7,0)</f>
        <v>NUM</v>
      </c>
      <c r="H46" s="1"/>
    </row>
    <row r="47" spans="1:8" ht="45" customHeight="1" x14ac:dyDescent="0.25">
      <c r="A47" s="70" t="s">
        <v>6</v>
      </c>
      <c r="B47" s="50" t="str">
        <f>VLOOKUP(A47,字段列表!$A:$G,2,0)</f>
        <v>onHandQty</v>
      </c>
      <c r="C47" s="8" t="s">
        <v>423</v>
      </c>
      <c r="D47" s="47" t="str">
        <f>VLOOKUP($A47,字段列表!$A:$G,3,0)</f>
        <v>VARCHAR</v>
      </c>
      <c r="E47" s="47" t="str">
        <f>VLOOKUP($A47,字段列表!$A:$G,5,0)</f>
        <v>-</v>
      </c>
      <c r="F47" s="47" t="str">
        <f>VLOOKUP($A47,字段列表!$A:$G,6,0)</f>
        <v>Y</v>
      </c>
      <c r="G47" s="47" t="str">
        <f>VLOOKUP($A47,字段列表!$A:$G,7,0)</f>
        <v>NUM</v>
      </c>
      <c r="H47" s="1"/>
    </row>
    <row r="48" spans="1:8" ht="45" customHeight="1" x14ac:dyDescent="0.25">
      <c r="A48" s="70" t="s">
        <v>37</v>
      </c>
      <c r="B48" s="50" t="str">
        <f>VLOOKUP(A48,字段列表!$A:$G,2,0)</f>
        <v>issueWarehouse</v>
      </c>
      <c r="C48" s="8" t="s">
        <v>424</v>
      </c>
      <c r="D48" s="47" t="str">
        <f>VLOOKUP($A48,字段列表!$A:$G,3,0)</f>
        <v>VARCHAR</v>
      </c>
      <c r="E48" s="47" t="str">
        <f>VLOOKUP($A48,字段列表!$A:$G,5,0)</f>
        <v>-</v>
      </c>
      <c r="F48" s="47" t="str">
        <f>VLOOKUP($A48,字段列表!$A:$G,6,0)</f>
        <v>Y</v>
      </c>
      <c r="G48" s="47" t="str">
        <f>VLOOKUP($A48,字段列表!$A:$G,7,0)</f>
        <v>SEL-2</v>
      </c>
      <c r="H48" s="3"/>
    </row>
    <row r="49" spans="1:8" ht="45" customHeight="1" x14ac:dyDescent="0.25">
      <c r="A49" s="70" t="s">
        <v>43</v>
      </c>
      <c r="B49" s="50" t="str">
        <f>VLOOKUP(A49,字段列表!$A:$G,2,0)</f>
        <v>configInventoryQty</v>
      </c>
      <c r="C49" s="8" t="s">
        <v>421</v>
      </c>
      <c r="D49" s="47" t="str">
        <f>VLOOKUP($A49,字段列表!$A:$G,3,0)</f>
        <v>VARCHAR</v>
      </c>
      <c r="E49" s="47" t="str">
        <f>VLOOKUP($A49,字段列表!$A:$G,5,0)</f>
        <v>-</v>
      </c>
      <c r="F49" s="47" t="str">
        <f>VLOOKUP($A49,字段列表!$A:$G,6,0)</f>
        <v>Y</v>
      </c>
      <c r="G49" s="47" t="str">
        <f>VLOOKUP($A49,字段列表!$A:$G,7,0)</f>
        <v>NUM</v>
      </c>
      <c r="H49" s="2"/>
    </row>
    <row r="50" spans="1:8" ht="45" customHeight="1" x14ac:dyDescent="0.25">
      <c r="A50" s="70" t="s">
        <v>93</v>
      </c>
      <c r="B50" s="50" t="str">
        <f>VLOOKUP(A50,字段列表!$A:$G,2,0)</f>
        <v>woShortageQty</v>
      </c>
      <c r="C50" s="8" t="s">
        <v>96</v>
      </c>
      <c r="D50" s="47" t="str">
        <f>VLOOKUP($A50,字段列表!$A:$G,3,0)</f>
        <v>VARCHAR</v>
      </c>
      <c r="E50" s="47" t="str">
        <f>VLOOKUP($A50,字段列表!$A:$G,5,0)</f>
        <v>-</v>
      </c>
      <c r="F50" s="47" t="str">
        <f>VLOOKUP($A50,字段列表!$A:$G,6,0)</f>
        <v>Y</v>
      </c>
      <c r="G50" s="47" t="str">
        <f>VLOOKUP($A50,字段列表!$A:$G,7,0)</f>
        <v>NUM</v>
      </c>
      <c r="H50" s="2"/>
    </row>
    <row r="51" spans="1:8" ht="45" customHeight="1" x14ac:dyDescent="0.25">
      <c r="A51" s="70" t="s">
        <v>95</v>
      </c>
      <c r="B51" s="50" t="str">
        <f>VLOOKUP(A51,字段列表!$A:$G,2,0)</f>
        <v>availableStockShortageQty</v>
      </c>
      <c r="C51" s="8" t="s">
        <v>392</v>
      </c>
      <c r="D51" s="47" t="str">
        <f>VLOOKUP($A51,字段列表!$A:$G,3,0)</f>
        <v>VARCHAR</v>
      </c>
      <c r="E51" s="47" t="str">
        <f>VLOOKUP($A51,字段列表!$A:$G,5,0)</f>
        <v>-</v>
      </c>
      <c r="F51" s="47" t="str">
        <f>VLOOKUP($A51,字段列表!$A:$G,6,0)</f>
        <v>Y</v>
      </c>
      <c r="G51" s="47" t="str">
        <f>VLOOKUP($A51,字段列表!$A:$G,7,0)</f>
        <v>NUM</v>
      </c>
      <c r="H51" s="3"/>
    </row>
    <row r="52" spans="1:8" ht="45" customHeight="1" x14ac:dyDescent="0.25">
      <c r="A52" s="70" t="s">
        <v>7</v>
      </c>
      <c r="B52" s="50" t="str">
        <f>VLOOKUP(A52,字段列表!$A:$G,2,0)</f>
        <v>theoreticalAvailableStock</v>
      </c>
      <c r="C52" s="8" t="s">
        <v>97</v>
      </c>
      <c r="D52" s="47" t="str">
        <f>VLOOKUP($A52,字段列表!$A:$G,3,0)</f>
        <v>VARCHAR</v>
      </c>
      <c r="E52" s="47" t="str">
        <f>VLOOKUP($A52,字段列表!$A:$G,5,0)</f>
        <v>-</v>
      </c>
      <c r="F52" s="47" t="str">
        <f>VLOOKUP($A52,字段列表!$A:$G,6,0)</f>
        <v>Y</v>
      </c>
      <c r="G52" s="47" t="str">
        <f>VLOOKUP($A52,字段列表!$A:$G,7,0)</f>
        <v>NUM</v>
      </c>
      <c r="H52" s="6"/>
    </row>
    <row r="53" spans="1:8" ht="45" customHeight="1" x14ac:dyDescent="0.25">
      <c r="A53" s="70" t="s">
        <v>79</v>
      </c>
      <c r="B53" s="50" t="str">
        <f>VLOOKUP(A53,字段列表!$A:$G,2,0)</f>
        <v>theoreticalAvailableStockInclPoWo</v>
      </c>
      <c r="C53" s="8" t="s">
        <v>100</v>
      </c>
      <c r="D53" s="47" t="str">
        <f>VLOOKUP($A53,字段列表!$A:$G,3,0)</f>
        <v>VARCHAR</v>
      </c>
      <c r="E53" s="47" t="str">
        <f>VLOOKUP($A53,字段列表!$A:$G,5,0)</f>
        <v>-</v>
      </c>
      <c r="F53" s="47" t="str">
        <f>VLOOKUP($A53,字段列表!$A:$G,6,0)</f>
        <v>Y</v>
      </c>
      <c r="G53" s="47" t="str">
        <f>VLOOKUP($A53,字段列表!$A:$G,7,0)</f>
        <v>NUM</v>
      </c>
      <c r="H53" s="6"/>
    </row>
    <row r="54" spans="1:8" ht="45" customHeight="1" x14ac:dyDescent="0.25">
      <c r="A54" s="70" t="s">
        <v>126</v>
      </c>
      <c r="B54" s="50" t="str">
        <f>VLOOKUP(A54,字段列表!$A:$G,2,0)</f>
        <v>committedKitQty</v>
      </c>
      <c r="C54" s="8" t="s">
        <v>426</v>
      </c>
      <c r="D54" s="47" t="str">
        <f>VLOOKUP($A54,字段列表!$A:$G,3,0)</f>
        <v>VARCHAR</v>
      </c>
      <c r="E54" s="47" t="str">
        <f>VLOOKUP($A54,字段列表!$A:$G,5,0)</f>
        <v>-</v>
      </c>
      <c r="F54" s="47" t="str">
        <f>VLOOKUP($A54,字段列表!$A:$G,6,0)</f>
        <v>Y</v>
      </c>
      <c r="G54" s="47" t="str">
        <f>VLOOKUP($A54,字段列表!$A:$G,7,0)</f>
        <v>NUM</v>
      </c>
      <c r="H54" s="2"/>
    </row>
    <row r="55" spans="1:8" ht="45" customHeight="1" x14ac:dyDescent="0.25">
      <c r="A55" s="70" t="s">
        <v>117</v>
      </c>
      <c r="B55" s="50" t="str">
        <f>VLOOKUP(A55,字段列表!$A:$G,2,0)</f>
        <v>issuedKitQty</v>
      </c>
      <c r="C55" s="8" t="s">
        <v>124</v>
      </c>
      <c r="D55" s="47" t="str">
        <f>VLOOKUP($A55,字段列表!$A:$G,3,0)</f>
        <v>VARCHAR</v>
      </c>
      <c r="E55" s="47" t="str">
        <f>VLOOKUP($A55,字段列表!$A:$G,5,0)</f>
        <v>-</v>
      </c>
      <c r="F55" s="47" t="str">
        <f>VLOOKUP($A55,字段列表!$A:$G,6,0)</f>
        <v>Y</v>
      </c>
      <c r="G55" s="47" t="str">
        <f>VLOOKUP($A55,字段列表!$A:$G,7,0)</f>
        <v>NUM</v>
      </c>
      <c r="H55" s="2"/>
    </row>
    <row r="56" spans="1:8" ht="45" customHeight="1" x14ac:dyDescent="0.25">
      <c r="A56" s="70" t="s">
        <v>386</v>
      </c>
      <c r="B56" s="50" t="str">
        <f>VLOOKUP(A56,字段列表!$A:$G,2,0)</f>
        <v>committedSumQty</v>
      </c>
      <c r="C56" s="8" t="s">
        <v>391</v>
      </c>
      <c r="D56" s="47" t="str">
        <f>VLOOKUP($A56,字段列表!$A:$G,3,0)</f>
        <v>VARCHAR</v>
      </c>
      <c r="E56" s="47" t="str">
        <f>VLOOKUP($A56,字段列表!$A:$G,5,0)</f>
        <v>-</v>
      </c>
      <c r="F56" s="47" t="str">
        <f>VLOOKUP($A56,字段列表!$A:$G,6,0)</f>
        <v>Y</v>
      </c>
      <c r="G56" s="47" t="str">
        <f>VLOOKUP($A56,字段列表!$A:$G,7,0)</f>
        <v>NUM</v>
      </c>
      <c r="H56" s="2"/>
    </row>
    <row r="57" spans="1:8" ht="45" customHeight="1" x14ac:dyDescent="0.25">
      <c r="A57" s="70" t="s">
        <v>136</v>
      </c>
      <c r="B57" s="50" t="str">
        <f>VLOOKUP(A57,字段列表!$A:$G,2,0)</f>
        <v>unKitQty</v>
      </c>
      <c r="C57" s="8" t="s">
        <v>127</v>
      </c>
      <c r="D57" s="47" t="str">
        <f>VLOOKUP($A57,字段列表!$A:$G,3,0)</f>
        <v>VARCHAR</v>
      </c>
      <c r="E57" s="47" t="str">
        <f>VLOOKUP($A57,字段列表!$A:$G,5,0)</f>
        <v>-</v>
      </c>
      <c r="F57" s="47" t="str">
        <f>VLOOKUP($A57,字段列表!$A:$G,6,0)</f>
        <v>Y</v>
      </c>
      <c r="G57" s="47" t="str">
        <f>VLOOKUP($A57,字段列表!$A:$G,7,0)</f>
        <v>NUM</v>
      </c>
      <c r="H57" s="2"/>
    </row>
    <row r="58" spans="1:8" ht="45" customHeight="1" x14ac:dyDescent="0.25">
      <c r="A58" s="70" t="s">
        <v>8</v>
      </c>
      <c r="B58" s="50" t="str">
        <f>VLOOKUP(A58,字段列表!$A:$G,2,0)</f>
        <v>estimatedMaterialReadyDate</v>
      </c>
      <c r="C58" s="8" t="s">
        <v>425</v>
      </c>
      <c r="D58" s="47" t="str">
        <f>VLOOKUP($A58,字段列表!$A:$G,3,0)</f>
        <v>Date</v>
      </c>
      <c r="E58" s="47" t="str">
        <f>VLOOKUP($A58,字段列表!$A:$G,5,0)</f>
        <v>-</v>
      </c>
      <c r="F58" s="47" t="str">
        <f>VLOOKUP($A58,字段列表!$A:$G,6,0)</f>
        <v>Y</v>
      </c>
      <c r="G58" s="47" t="str">
        <f>VLOOKUP($A58,字段列表!$A:$G,7,0)</f>
        <v>DATA</v>
      </c>
      <c r="H58" s="4"/>
    </row>
    <row r="59" spans="1:8" ht="45" customHeight="1" x14ac:dyDescent="0.25">
      <c r="A59" s="70" t="s">
        <v>9</v>
      </c>
      <c r="B59" s="50" t="str">
        <f>VLOOKUP(A59,字段列表!$A:$G,2,0)</f>
        <v>actualMaterialReadyDate</v>
      </c>
      <c r="C59" s="8" t="s">
        <v>80</v>
      </c>
      <c r="D59" s="47" t="str">
        <f>VLOOKUP($A59,字段列表!$A:$G,3,0)</f>
        <v>Date</v>
      </c>
      <c r="E59" s="47" t="str">
        <f>VLOOKUP($A59,字段列表!$A:$G,5,0)</f>
        <v>Y</v>
      </c>
      <c r="F59" s="47" t="str">
        <f>VLOOKUP($A59,字段列表!$A:$G,6,0)</f>
        <v>Y</v>
      </c>
      <c r="G59" s="47" t="str">
        <f>VLOOKUP($A59,字段列表!$A:$G,7,0)</f>
        <v>DATA</v>
      </c>
      <c r="H59" s="4"/>
    </row>
    <row r="60" spans="1:8" ht="45" customHeight="1" x14ac:dyDescent="0.25">
      <c r="A60" s="70" t="s">
        <v>101</v>
      </c>
      <c r="B60" s="50" t="str">
        <f>VLOOKUP(A60,字段列表!$A:$G,2,0)</f>
        <v>hasAlternativeMaterial</v>
      </c>
      <c r="C60" s="8" t="s">
        <v>102</v>
      </c>
      <c r="D60" s="47" t="str">
        <f>VLOOKUP($A60,字段列表!$A:$G,3,0)</f>
        <v>Boolean</v>
      </c>
      <c r="E60" s="47" t="str">
        <f>VLOOKUP($A60,字段列表!$A:$G,5,0)</f>
        <v>-</v>
      </c>
      <c r="F60" s="47" t="str">
        <f>VLOOKUP($A60,字段列表!$A:$G,6,0)</f>
        <v>Y</v>
      </c>
      <c r="G60" s="47" t="str">
        <f>VLOOKUP($A60,字段列表!$A:$G,7,0)</f>
        <v>BOOL</v>
      </c>
      <c r="H60" s="4"/>
    </row>
    <row r="61" spans="1:8" ht="45" customHeight="1" x14ac:dyDescent="0.25">
      <c r="A61" s="70" t="s">
        <v>11</v>
      </c>
      <c r="B61" s="50" t="str">
        <f>VLOOKUP(A61,字段列表!$A:$G,2,0)</f>
        <v>alternativeMaterialStock</v>
      </c>
      <c r="C61" s="8" t="s">
        <v>604</v>
      </c>
      <c r="D61" s="47" t="str">
        <f>VLOOKUP($A61,字段列表!$A:$G,3,0)</f>
        <v>_</v>
      </c>
      <c r="E61" s="47" t="str">
        <f>VLOOKUP($A61,字段列表!$A:$G,5,0)</f>
        <v>-</v>
      </c>
      <c r="F61" s="47" t="str">
        <f>VLOOKUP($A61,字段列表!$A:$G,6,0)</f>
        <v>-</v>
      </c>
      <c r="G61" s="47" t="str">
        <f>VLOOKUP($A61,字段列表!$A:$G,7,0)</f>
        <v>-</v>
      </c>
      <c r="H61" s="3"/>
    </row>
    <row r="62" spans="1:8" ht="45" customHeight="1" x14ac:dyDescent="0.25">
      <c r="A62" s="70" t="s">
        <v>180</v>
      </c>
      <c r="B62" s="50" t="str">
        <f>VLOOKUP(A62,字段列表!$A:$G,2,0)</f>
        <v>isKitComplete</v>
      </c>
      <c r="C62" s="8" t="s">
        <v>181</v>
      </c>
      <c r="D62" s="47" t="str">
        <f>VLOOKUP($A62,字段列表!$A:$G,3,0)</f>
        <v>Boolean</v>
      </c>
      <c r="E62" s="47" t="str">
        <f>VLOOKUP($A62,字段列表!$A:$G,5,0)</f>
        <v>Y</v>
      </c>
      <c r="F62" s="47" t="str">
        <f>VLOOKUP($A62,字段列表!$A:$G,6,0)</f>
        <v>Y</v>
      </c>
      <c r="G62" s="47" t="str">
        <f>VLOOKUP($A62,字段列表!$A:$G,7,0)</f>
        <v>BOOL</v>
      </c>
      <c r="H62" s="3"/>
    </row>
    <row r="63" spans="1:8" ht="132.6" customHeight="1" x14ac:dyDescent="0.25">
      <c r="A63" s="70" t="s">
        <v>81</v>
      </c>
      <c r="B63" s="50" t="str">
        <f>VLOOKUP(A63,字段列表!$A:$G,2,0)</f>
        <v>supplyDetails</v>
      </c>
      <c r="C63" s="8" t="s">
        <v>752</v>
      </c>
      <c r="D63" s="47" t="str">
        <f>VLOOKUP($A63,字段列表!$A:$G,3,0)</f>
        <v>_</v>
      </c>
      <c r="E63" s="47" t="str">
        <f>VLOOKUP($A63,字段列表!$A:$G,5,0)</f>
        <v>-</v>
      </c>
      <c r="F63" s="47" t="str">
        <f>VLOOKUP($A63,字段列表!$A:$G,6,0)</f>
        <v>-</v>
      </c>
      <c r="G63" s="47" t="str">
        <f>VLOOKUP($A63,字段列表!$A:$G,7,0)</f>
        <v>-</v>
      </c>
      <c r="H63" s="4" t="s">
        <v>656</v>
      </c>
    </row>
    <row r="64" spans="1:8" ht="39.6" customHeight="1" x14ac:dyDescent="0.35">
      <c r="A64" s="70" t="s">
        <v>163</v>
      </c>
      <c r="B64" s="50" t="str">
        <f>VLOOKUP(A64,字段列表!$A:$G,2,0)</f>
        <v>operations</v>
      </c>
      <c r="C64" s="48" t="s">
        <v>596</v>
      </c>
      <c r="D64" s="47" t="str">
        <f>VLOOKUP($A64,字段列表!$A:$G,3,0)</f>
        <v>_</v>
      </c>
      <c r="E64" s="47" t="str">
        <f>VLOOKUP($A64,字段列表!$A:$G,5,0)</f>
        <v>-</v>
      </c>
      <c r="F64" s="47" t="str">
        <f>VLOOKUP($A64,字段列表!$A:$G,6,0)</f>
        <v>-</v>
      </c>
      <c r="G64" s="47" t="str">
        <f>VLOOKUP($A64,字段列表!$A:$G,7,0)</f>
        <v>-</v>
      </c>
      <c r="H64" s="19" t="s">
        <v>390</v>
      </c>
    </row>
  </sheetData>
  <autoFilter ref="A1:H64"/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I28"/>
  <sheetViews>
    <sheetView workbookViewId="0">
      <selection sqref="A1:B1"/>
    </sheetView>
  </sheetViews>
  <sheetFormatPr defaultRowHeight="13.8" x14ac:dyDescent="0.25"/>
  <cols>
    <col min="1" max="1" width="19.33203125" bestFit="1" customWidth="1"/>
    <col min="2" max="2" width="22.5546875" customWidth="1"/>
    <col min="3" max="3" width="65.21875" customWidth="1"/>
    <col min="4" max="4" width="9.77734375" bestFit="1" customWidth="1"/>
    <col min="5" max="7" width="8.21875" bestFit="1" customWidth="1"/>
    <col min="8" max="8" width="8.21875" customWidth="1"/>
    <col min="9" max="9" width="26.44140625" bestFit="1" customWidth="1"/>
  </cols>
  <sheetData>
    <row r="1" spans="1:9" ht="24" x14ac:dyDescent="0.25">
      <c r="A1" s="38" t="s">
        <v>215</v>
      </c>
      <c r="B1" s="33" t="s">
        <v>396</v>
      </c>
      <c r="C1" s="32" t="s">
        <v>13</v>
      </c>
      <c r="D1" s="33" t="s">
        <v>58</v>
      </c>
      <c r="E1" s="33" t="s">
        <v>211</v>
      </c>
      <c r="F1" s="33" t="s">
        <v>213</v>
      </c>
      <c r="G1" s="33" t="s">
        <v>55</v>
      </c>
      <c r="H1" s="33" t="s">
        <v>725</v>
      </c>
      <c r="I1" s="43" t="s">
        <v>16</v>
      </c>
    </row>
    <row r="2" spans="1:9" ht="15" x14ac:dyDescent="0.3">
      <c r="A2" s="70" t="s">
        <v>18</v>
      </c>
      <c r="B2" s="50" t="str">
        <f>VLOOKUP(A2,字段列表!$A:$G,2,0)</f>
        <v>orgName</v>
      </c>
      <c r="C2" s="8" t="s">
        <v>15</v>
      </c>
      <c r="D2" s="47" t="str">
        <f>VLOOKUP($A2,字段列表!$A:$G,3,0)</f>
        <v>VARCHAR</v>
      </c>
      <c r="E2" s="47" t="str">
        <f>VLOOKUP($A2,字段列表!$A:$G,5,0)</f>
        <v>Y</v>
      </c>
      <c r="F2" s="47" t="str">
        <f>VLOOKUP($A2,字段列表!$A:$G,6,0)</f>
        <v>Y</v>
      </c>
      <c r="G2" s="47" t="str">
        <f>VLOOKUP($A2,字段列表!$A:$G,7,0)</f>
        <v>SEL-1</v>
      </c>
      <c r="H2" s="47" t="s">
        <v>724</v>
      </c>
      <c r="I2" s="30"/>
    </row>
    <row r="3" spans="1:9" ht="15" x14ac:dyDescent="0.3">
      <c r="A3" s="70" t="s">
        <v>19</v>
      </c>
      <c r="B3" s="50" t="str">
        <f>VLOOKUP(A3,字段列表!$A:$G,2,0)</f>
        <v>orderNo</v>
      </c>
      <c r="C3" s="8" t="s">
        <v>106</v>
      </c>
      <c r="D3" s="47" t="str">
        <f>VLOOKUP($A3,字段列表!$A:$G,3,0)</f>
        <v>VARCHAR</v>
      </c>
      <c r="E3" s="47" t="str">
        <f>VLOOKUP($A3,字段列表!$A:$G,5,0)</f>
        <v>Y</v>
      </c>
      <c r="F3" s="47" t="str">
        <f>VLOOKUP($A3,字段列表!$A:$G,6,0)</f>
        <v>Y</v>
      </c>
      <c r="G3" s="47" t="str">
        <f>VLOOKUP($A3,字段列表!$A:$G,7,0)</f>
        <v>TXT-1</v>
      </c>
      <c r="H3" s="47" t="s">
        <v>724</v>
      </c>
      <c r="I3" s="30"/>
    </row>
    <row r="4" spans="1:9" ht="15" x14ac:dyDescent="0.3">
      <c r="A4" s="70" t="s">
        <v>20</v>
      </c>
      <c r="B4" s="50" t="str">
        <f>VLOOKUP(A4,字段列表!$A:$G,2,0)</f>
        <v>orderCreateDate</v>
      </c>
      <c r="C4" s="8" t="s">
        <v>38</v>
      </c>
      <c r="D4" s="47" t="str">
        <f>VLOOKUP($A4,字段列表!$A:$G,3,0)</f>
        <v>Date</v>
      </c>
      <c r="E4" s="47" t="str">
        <f>VLOOKUP($A4,字段列表!$A:$G,5,0)</f>
        <v>-</v>
      </c>
      <c r="F4" s="47" t="str">
        <f>VLOOKUP($A4,字段列表!$A:$G,6,0)</f>
        <v>Y</v>
      </c>
      <c r="G4" s="47" t="str">
        <f>VLOOKUP($A4,字段列表!$A:$G,7,0)</f>
        <v>DATA</v>
      </c>
      <c r="H4" s="47" t="s">
        <v>724</v>
      </c>
      <c r="I4" s="30"/>
    </row>
    <row r="5" spans="1:9" ht="15" x14ac:dyDescent="0.3">
      <c r="A5" s="70" t="s">
        <v>21</v>
      </c>
      <c r="B5" s="50" t="str">
        <f>VLOOKUP(A5,字段列表!$A:$G,2,0)</f>
        <v>orderCreator</v>
      </c>
      <c r="C5" s="8" t="s">
        <v>38</v>
      </c>
      <c r="D5" s="47" t="str">
        <f>VLOOKUP($A5,字段列表!$A:$G,3,0)</f>
        <v>VARCHAR</v>
      </c>
      <c r="E5" s="47" t="str">
        <f>VLOOKUP($A5,字段列表!$A:$G,5,0)</f>
        <v>-</v>
      </c>
      <c r="F5" s="47" t="str">
        <f>VLOOKUP($A5,字段列表!$A:$G,6,0)</f>
        <v>Y</v>
      </c>
      <c r="G5" s="47" t="str">
        <f>VLOOKUP($A5,字段列表!$A:$G,7,0)</f>
        <v>TXT-2</v>
      </c>
      <c r="H5" s="47" t="s">
        <v>724</v>
      </c>
      <c r="I5" s="30"/>
    </row>
    <row r="6" spans="1:9" ht="15" x14ac:dyDescent="0.3">
      <c r="A6" s="70" t="s">
        <v>22</v>
      </c>
      <c r="B6" s="50" t="str">
        <f>VLOOKUP(A6,字段列表!$A:$G,2,0)</f>
        <v>orderType</v>
      </c>
      <c r="C6" s="8" t="s">
        <v>38</v>
      </c>
      <c r="D6" s="47" t="str">
        <f>VLOOKUP($A6,字段列表!$A:$G,3,0)</f>
        <v>VARCHAR</v>
      </c>
      <c r="E6" s="47" t="str">
        <f>VLOOKUP($A6,字段列表!$A:$G,5,0)</f>
        <v>Y</v>
      </c>
      <c r="F6" s="47" t="str">
        <f>VLOOKUP($A6,字段列表!$A:$G,6,0)</f>
        <v>Y</v>
      </c>
      <c r="G6" s="47" t="str">
        <f>VLOOKUP($A6,字段列表!$A:$G,7,0)</f>
        <v>SEL-2</v>
      </c>
      <c r="H6" s="47" t="s">
        <v>724</v>
      </c>
      <c r="I6" s="30"/>
    </row>
    <row r="7" spans="1:9" ht="15" x14ac:dyDescent="0.3">
      <c r="A7" s="70" t="s">
        <v>165</v>
      </c>
      <c r="B7" s="50" t="str">
        <f>VLOOKUP(A7,字段列表!$A:$G,2,0)</f>
        <v>productLine</v>
      </c>
      <c r="C7" s="8" t="s">
        <v>38</v>
      </c>
      <c r="D7" s="47" t="str">
        <f>VLOOKUP($A7,字段列表!$A:$G,3,0)</f>
        <v>VARCHAR</v>
      </c>
      <c r="E7" s="47" t="str">
        <f>VLOOKUP($A7,字段列表!$A:$G,5,0)</f>
        <v>-</v>
      </c>
      <c r="F7" s="47" t="str">
        <f>VLOOKUP($A7,字段列表!$A:$G,6,0)</f>
        <v>Y</v>
      </c>
      <c r="G7" s="47" t="str">
        <f>VLOOKUP($A7,字段列表!$A:$G,7,0)</f>
        <v>SEL-2</v>
      </c>
      <c r="H7" s="47" t="s">
        <v>724</v>
      </c>
      <c r="I7" s="30"/>
    </row>
    <row r="8" spans="1:9" ht="15" x14ac:dyDescent="0.3">
      <c r="A8" s="70" t="s">
        <v>23</v>
      </c>
      <c r="B8" s="50" t="str">
        <f>VLOOKUP(A8,字段列表!$A:$G,2,0)</f>
        <v>materialCode</v>
      </c>
      <c r="C8" s="8" t="s">
        <v>15</v>
      </c>
      <c r="D8" s="47" t="str">
        <f>VLOOKUP($A8,字段列表!$A:$G,3,0)</f>
        <v>VARCHAR</v>
      </c>
      <c r="E8" s="47" t="str">
        <f>VLOOKUP($A8,字段列表!$A:$G,5,0)</f>
        <v>Y</v>
      </c>
      <c r="F8" s="47" t="str">
        <f>VLOOKUP($A8,字段列表!$A:$G,6,0)</f>
        <v>Y</v>
      </c>
      <c r="G8" s="47" t="str">
        <f>VLOOKUP($A8,字段列表!$A:$G,7,0)</f>
        <v>TXT-1</v>
      </c>
      <c r="H8" s="47" t="s">
        <v>724</v>
      </c>
      <c r="I8" s="30"/>
    </row>
    <row r="9" spans="1:9" ht="15" x14ac:dyDescent="0.3">
      <c r="A9" s="70" t="s">
        <v>27</v>
      </c>
      <c r="B9" s="50" t="str">
        <f>VLOOKUP(A9,字段列表!$A:$G,2,0)</f>
        <v>materialDes</v>
      </c>
      <c r="C9" s="8" t="s">
        <v>15</v>
      </c>
      <c r="D9" s="47" t="str">
        <f>VLOOKUP($A9,字段列表!$A:$G,3,0)</f>
        <v>VARCHAR</v>
      </c>
      <c r="E9" s="47" t="str">
        <f>VLOOKUP($A9,字段列表!$A:$G,5,0)</f>
        <v>-</v>
      </c>
      <c r="F9" s="47" t="str">
        <f>VLOOKUP($A9,字段列表!$A:$G,6,0)</f>
        <v>Y</v>
      </c>
      <c r="G9" s="47" t="str">
        <f>VLOOKUP($A9,字段列表!$A:$G,7,0)</f>
        <v>TXT-2</v>
      </c>
      <c r="H9" s="47" t="s">
        <v>724</v>
      </c>
      <c r="I9" s="30"/>
    </row>
    <row r="10" spans="1:9" ht="15" x14ac:dyDescent="0.3">
      <c r="A10" s="70" t="s">
        <v>103</v>
      </c>
      <c r="B10" s="50" t="str">
        <f>VLOOKUP(A10,字段列表!$A:$G,2,0)</f>
        <v>dieStackQty</v>
      </c>
      <c r="C10" s="8" t="s">
        <v>179</v>
      </c>
      <c r="D10" s="47" t="str">
        <f>VLOOKUP($A10,字段列表!$A:$G,3,0)</f>
        <v>VARCHAR</v>
      </c>
      <c r="E10" s="47" t="str">
        <f>VLOOKUP($A10,字段列表!$A:$G,5,0)</f>
        <v>-</v>
      </c>
      <c r="F10" s="47" t="str">
        <f>VLOOKUP($A10,字段列表!$A:$G,6,0)</f>
        <v>Y</v>
      </c>
      <c r="G10" s="47" t="str">
        <f>VLOOKUP($A10,字段列表!$A:$G,7,0)</f>
        <v>TXT-2</v>
      </c>
      <c r="H10" s="47" t="s">
        <v>724</v>
      </c>
      <c r="I10" s="30"/>
    </row>
    <row r="11" spans="1:9" ht="15" x14ac:dyDescent="0.3">
      <c r="A11" s="70" t="s">
        <v>24</v>
      </c>
      <c r="B11" s="50" t="str">
        <f>VLOOKUP(A11,字段列表!$A:$G,2,0)</f>
        <v>productCategory</v>
      </c>
      <c r="C11" s="8" t="s">
        <v>15</v>
      </c>
      <c r="D11" s="47" t="str">
        <f>VLOOKUP($A11,字段列表!$A:$G,3,0)</f>
        <v>VARCHAR</v>
      </c>
      <c r="E11" s="47" t="str">
        <f>VLOOKUP($A11,字段列表!$A:$G,5,0)</f>
        <v>-</v>
      </c>
      <c r="F11" s="47" t="str">
        <f>VLOOKUP($A11,字段列表!$A:$G,6,0)</f>
        <v>Y</v>
      </c>
      <c r="G11" s="47" t="str">
        <f>VLOOKUP($A11,字段列表!$A:$G,7,0)</f>
        <v>SEL-2</v>
      </c>
      <c r="H11" s="47" t="s">
        <v>724</v>
      </c>
      <c r="I11" s="30"/>
    </row>
    <row r="12" spans="1:9" ht="15" x14ac:dyDescent="0.3">
      <c r="A12" s="70" t="s">
        <v>25</v>
      </c>
      <c r="B12" s="50" t="str">
        <f>VLOOKUP(A12,字段列表!$A:$G,2,0)</f>
        <v>capacity</v>
      </c>
      <c r="C12" s="8" t="s">
        <v>15</v>
      </c>
      <c r="D12" s="47" t="str">
        <f>VLOOKUP($A12,字段列表!$A:$G,3,0)</f>
        <v>VARCHAR</v>
      </c>
      <c r="E12" s="47" t="str">
        <f>VLOOKUP($A12,字段列表!$A:$G,5,0)</f>
        <v>-</v>
      </c>
      <c r="F12" s="47" t="str">
        <f>VLOOKUP($A12,字段列表!$A:$G,6,0)</f>
        <v>Y</v>
      </c>
      <c r="G12" s="47" t="str">
        <f>VLOOKUP($A12,字段列表!$A:$G,7,0)</f>
        <v>SEL-2</v>
      </c>
      <c r="H12" s="47" t="s">
        <v>724</v>
      </c>
      <c r="I12" s="30"/>
    </row>
    <row r="13" spans="1:9" ht="15" x14ac:dyDescent="0.3">
      <c r="A13" s="70" t="s">
        <v>26</v>
      </c>
      <c r="B13" s="50" t="str">
        <f>VLOOKUP(A13,字段列表!$A:$G,2,0)</f>
        <v>productPn</v>
      </c>
      <c r="C13" s="8" t="s">
        <v>15</v>
      </c>
      <c r="D13" s="47" t="str">
        <f>VLOOKUP($A13,字段列表!$A:$G,3,0)</f>
        <v>VARCHAR</v>
      </c>
      <c r="E13" s="47" t="str">
        <f>VLOOKUP($A13,字段列表!$A:$G,5,0)</f>
        <v>-</v>
      </c>
      <c r="F13" s="47" t="str">
        <f>VLOOKUP($A13,字段列表!$A:$G,6,0)</f>
        <v>Y</v>
      </c>
      <c r="G13" s="47" t="str">
        <f>VLOOKUP($A13,字段列表!$A:$G,7,0)</f>
        <v>TXT-2</v>
      </c>
      <c r="H13" s="47" t="s">
        <v>724</v>
      </c>
      <c r="I13" s="30"/>
    </row>
    <row r="14" spans="1:9" ht="15" x14ac:dyDescent="0.3">
      <c r="A14" s="70" t="s">
        <v>28</v>
      </c>
      <c r="B14" s="50" t="str">
        <f>VLOOKUP(A14,字段列表!$A:$G,2,0)</f>
        <v>orderQty</v>
      </c>
      <c r="C14" s="8" t="s">
        <v>38</v>
      </c>
      <c r="D14" s="47" t="str">
        <f>VLOOKUP($A14,字段列表!$A:$G,3,0)</f>
        <v>VARCHAR</v>
      </c>
      <c r="E14" s="47" t="str">
        <f>VLOOKUP($A14,字段列表!$A:$G,5,0)</f>
        <v>-</v>
      </c>
      <c r="F14" s="47" t="str">
        <f>VLOOKUP($A14,字段列表!$A:$G,6,0)</f>
        <v>Y</v>
      </c>
      <c r="G14" s="47" t="str">
        <f>VLOOKUP($A14,字段列表!$A:$G,7,0)</f>
        <v>NUM</v>
      </c>
      <c r="H14" s="47" t="s">
        <v>724</v>
      </c>
      <c r="I14" s="30"/>
    </row>
    <row r="15" spans="1:9" ht="15" x14ac:dyDescent="0.3">
      <c r="A15" s="70" t="s">
        <v>29</v>
      </c>
      <c r="B15" s="50" t="str">
        <f>VLOOKUP(A15,字段列表!$A:$G,2,0)</f>
        <v>requiredCompletionDate</v>
      </c>
      <c r="C15" s="8" t="s">
        <v>38</v>
      </c>
      <c r="D15" s="47" t="str">
        <f>VLOOKUP($A15,字段列表!$A:$G,3,0)</f>
        <v>Date</v>
      </c>
      <c r="E15" s="47" t="str">
        <f>VLOOKUP($A15,字段列表!$A:$G,5,0)</f>
        <v>Y</v>
      </c>
      <c r="F15" s="47" t="str">
        <f>VLOOKUP($A15,字段列表!$A:$G,6,0)</f>
        <v>Y</v>
      </c>
      <c r="G15" s="47" t="str">
        <f>VLOOKUP($A15,字段列表!$A:$G,7,0)</f>
        <v>DATA</v>
      </c>
      <c r="H15" s="47" t="s">
        <v>724</v>
      </c>
      <c r="I15" s="30"/>
    </row>
    <row r="16" spans="1:9" ht="15" x14ac:dyDescent="0.3">
      <c r="A16" s="70" t="s">
        <v>17</v>
      </c>
      <c r="B16" s="50" t="str">
        <f>VLOOKUP(A16,字段列表!$A:$G,2,0)</f>
        <v>workOrderCategory</v>
      </c>
      <c r="C16" s="8" t="s">
        <v>15</v>
      </c>
      <c r="D16" s="47" t="str">
        <f>VLOOKUP($A16,字段列表!$A:$G,3,0)</f>
        <v>VARCHAR</v>
      </c>
      <c r="E16" s="47" t="str">
        <f>VLOOKUP($A16,字段列表!$A:$G,5,0)</f>
        <v>-</v>
      </c>
      <c r="F16" s="47" t="str">
        <f>VLOOKUP($A16,字段列表!$A:$G,6,0)</f>
        <v>Y</v>
      </c>
      <c r="G16" s="47" t="str">
        <f>VLOOKUP($A16,字段列表!$A:$G,7,0)</f>
        <v>SEL-2</v>
      </c>
      <c r="H16" s="47" t="s">
        <v>724</v>
      </c>
      <c r="I16" s="30"/>
    </row>
    <row r="17" spans="1:9" ht="15" x14ac:dyDescent="0.3">
      <c r="A17" s="70" t="s">
        <v>30</v>
      </c>
      <c r="B17" s="50" t="str">
        <f>VLOOKUP(A17,字段列表!$A:$G,2,0)</f>
        <v>workOrderStatus</v>
      </c>
      <c r="C17" s="8" t="s">
        <v>15</v>
      </c>
      <c r="D17" s="47" t="str">
        <f>VLOOKUP($A17,字段列表!$A:$G,3,0)</f>
        <v>VARCHAR</v>
      </c>
      <c r="E17" s="47" t="str">
        <f>VLOOKUP($A17,字段列表!$A:$G,5,0)</f>
        <v>-</v>
      </c>
      <c r="F17" s="47" t="str">
        <f>VLOOKUP($A17,字段列表!$A:$G,6,0)</f>
        <v>Y</v>
      </c>
      <c r="G17" s="47" t="str">
        <f>VLOOKUP($A17,字段列表!$A:$G,7,0)</f>
        <v>SEL-2</v>
      </c>
      <c r="H17" s="47" t="s">
        <v>724</v>
      </c>
      <c r="I17" s="30"/>
    </row>
    <row r="18" spans="1:9" ht="120" x14ac:dyDescent="0.3">
      <c r="A18" s="70" t="s">
        <v>0</v>
      </c>
      <c r="B18" s="50" t="str">
        <f>VLOOKUP(A18,字段列表!$A:$G,2,0)</f>
        <v>workOrderNo</v>
      </c>
      <c r="C18" s="8" t="s">
        <v>726</v>
      </c>
      <c r="D18" s="47" t="str">
        <f>VLOOKUP($A18,字段列表!$A:$G,3,0)</f>
        <v>VARCHAR</v>
      </c>
      <c r="E18" s="47" t="str">
        <f>VLOOKUP($A18,字段列表!$A:$G,5,0)</f>
        <v>Y</v>
      </c>
      <c r="F18" s="47" t="str">
        <f>VLOOKUP($A18,字段列表!$A:$G,6,0)</f>
        <v>Y</v>
      </c>
      <c r="G18" s="47" t="str">
        <f>VLOOKUP($A18,字段列表!$A:$G,7,0)</f>
        <v>TXT-1</v>
      </c>
      <c r="H18" s="47" t="s">
        <v>724</v>
      </c>
      <c r="I18" s="88" t="s">
        <v>750</v>
      </c>
    </row>
    <row r="19" spans="1:9" ht="15" x14ac:dyDescent="0.3">
      <c r="A19" s="70" t="s">
        <v>49</v>
      </c>
      <c r="B19" s="50" t="str">
        <f>VLOOKUP(A19,字段列表!$A:$G,2,0)</f>
        <v>workOrderPriority</v>
      </c>
      <c r="C19" s="8" t="s">
        <v>50</v>
      </c>
      <c r="D19" s="47" t="str">
        <f>VLOOKUP($A19,字段列表!$A:$G,3,0)</f>
        <v>INT</v>
      </c>
      <c r="E19" s="47" t="str">
        <f>VLOOKUP($A19,字段列表!$A:$G,5,0)</f>
        <v>Y</v>
      </c>
      <c r="F19" s="47" t="str">
        <f>VLOOKUP($A19,字段列表!$A:$G,6,0)</f>
        <v>Y</v>
      </c>
      <c r="G19" s="47" t="str">
        <f>VLOOKUP($A19,字段列表!$A:$G,7,0)</f>
        <v>NUM</v>
      </c>
      <c r="H19" s="47" t="s">
        <v>724</v>
      </c>
      <c r="I19" s="30"/>
    </row>
    <row r="20" spans="1:9" ht="15" x14ac:dyDescent="0.3">
      <c r="A20" s="70" t="s">
        <v>31</v>
      </c>
      <c r="B20" s="50" t="str">
        <f>VLOOKUP(A20,字段列表!$A:$G,2,0)</f>
        <v>transferBy</v>
      </c>
      <c r="C20" s="8" t="s">
        <v>15</v>
      </c>
      <c r="D20" s="47" t="str">
        <f>VLOOKUP($A20,字段列表!$A:$G,3,0)</f>
        <v>VARCHAR</v>
      </c>
      <c r="E20" s="47" t="str">
        <f>VLOOKUP($A20,字段列表!$A:$G,5,0)</f>
        <v>-</v>
      </c>
      <c r="F20" s="47" t="str">
        <f>VLOOKUP($A20,字段列表!$A:$G,6,0)</f>
        <v>Y</v>
      </c>
      <c r="G20" s="47" t="str">
        <f>VLOOKUP($A20,字段列表!$A:$G,7,0)</f>
        <v>TXT-2</v>
      </c>
      <c r="H20" s="47" t="s">
        <v>724</v>
      </c>
      <c r="I20" s="30"/>
    </row>
    <row r="21" spans="1:9" ht="15" x14ac:dyDescent="0.3">
      <c r="A21" s="70" t="s">
        <v>32</v>
      </c>
      <c r="B21" s="50" t="str">
        <f>VLOOKUP(A21,字段列表!$A:$G,2,0)</f>
        <v>transferTime</v>
      </c>
      <c r="C21" s="8" t="s">
        <v>15</v>
      </c>
      <c r="D21" s="47" t="str">
        <f>VLOOKUP($A21,字段列表!$A:$G,3,0)</f>
        <v>Date</v>
      </c>
      <c r="E21" s="47" t="str">
        <f>VLOOKUP($A21,字段列表!$A:$G,5,0)</f>
        <v>-</v>
      </c>
      <c r="F21" s="47" t="str">
        <f>VLOOKUP($A21,字段列表!$A:$G,6,0)</f>
        <v>Y</v>
      </c>
      <c r="G21" s="47" t="str">
        <f>VLOOKUP($A21,字段列表!$A:$G,7,0)</f>
        <v>DATA</v>
      </c>
      <c r="H21" s="47" t="s">
        <v>724</v>
      </c>
      <c r="I21" s="30"/>
    </row>
    <row r="22" spans="1:9" ht="15" x14ac:dyDescent="0.3">
      <c r="A22" s="70" t="s">
        <v>33</v>
      </c>
      <c r="B22" s="50" t="str">
        <f>VLOOKUP(A22,字段列表!$A:$G,2,0)</f>
        <v>transferQty</v>
      </c>
      <c r="C22" s="8" t="s">
        <v>15</v>
      </c>
      <c r="D22" s="47" t="str">
        <f>VLOOKUP($A22,字段列表!$A:$G,3,0)</f>
        <v>VARCHAR</v>
      </c>
      <c r="E22" s="47" t="str">
        <f>VLOOKUP($A22,字段列表!$A:$G,5,0)</f>
        <v>-</v>
      </c>
      <c r="F22" s="47" t="str">
        <f>VLOOKUP($A22,字段列表!$A:$G,6,0)</f>
        <v>Y</v>
      </c>
      <c r="G22" s="47" t="str">
        <f>VLOOKUP($A22,字段列表!$A:$G,7,0)</f>
        <v>NUM</v>
      </c>
      <c r="H22" s="47" t="s">
        <v>724</v>
      </c>
      <c r="I22" s="30"/>
    </row>
    <row r="23" spans="1:9" ht="15" x14ac:dyDescent="0.3">
      <c r="A23" s="70" t="s">
        <v>35</v>
      </c>
      <c r="B23" s="50" t="str">
        <f>VLOOKUP(A23,字段列表!$A:$G,2,0)</f>
        <v>completedQty</v>
      </c>
      <c r="C23" s="8" t="s">
        <v>15</v>
      </c>
      <c r="D23" s="47" t="str">
        <f>VLOOKUP($A23,字段列表!$A:$G,3,0)</f>
        <v>VARCHAR</v>
      </c>
      <c r="E23" s="47" t="str">
        <f>VLOOKUP($A23,字段列表!$A:$G,5,0)</f>
        <v>-</v>
      </c>
      <c r="F23" s="47" t="str">
        <f>VLOOKUP($A23,字段列表!$A:$G,6,0)</f>
        <v>Y</v>
      </c>
      <c r="G23" s="47" t="str">
        <f>VLOOKUP($A23,字段列表!$A:$G,7,0)</f>
        <v>NUM</v>
      </c>
      <c r="H23" s="47" t="s">
        <v>724</v>
      </c>
      <c r="I23" s="30"/>
    </row>
    <row r="24" spans="1:9" ht="15" x14ac:dyDescent="0.3">
      <c r="A24" s="70" t="s">
        <v>36</v>
      </c>
      <c r="B24" s="50" t="str">
        <f>VLOOKUP(A24,字段列表!$A:$G,2,0)</f>
        <v>scrapQty</v>
      </c>
      <c r="C24" s="8" t="s">
        <v>15</v>
      </c>
      <c r="D24" s="47" t="str">
        <f>VLOOKUP($A24,字段列表!$A:$G,3,0)</f>
        <v>VARCHAR</v>
      </c>
      <c r="E24" s="47" t="str">
        <f>VLOOKUP($A24,字段列表!$A:$G,5,0)</f>
        <v>-</v>
      </c>
      <c r="F24" s="47" t="str">
        <f>VLOOKUP($A24,字段列表!$A:$G,6,0)</f>
        <v>Y</v>
      </c>
      <c r="G24" s="47" t="str">
        <f>VLOOKUP($A24,字段列表!$A:$G,7,0)</f>
        <v>NUM</v>
      </c>
      <c r="H24" s="47" t="s">
        <v>724</v>
      </c>
      <c r="I24" s="30"/>
    </row>
    <row r="25" spans="1:9" ht="15" x14ac:dyDescent="0.3">
      <c r="A25" s="70" t="s">
        <v>34</v>
      </c>
      <c r="B25" s="50" t="str">
        <f>VLOOKUP(A25,字段列表!$A:$G,2,0)</f>
        <v>incompleteQty</v>
      </c>
      <c r="C25" s="8" t="s">
        <v>15</v>
      </c>
      <c r="D25" s="47" t="str">
        <f>VLOOKUP($A25,字段列表!$A:$G,3,0)</f>
        <v>VARCHAR</v>
      </c>
      <c r="E25" s="47" t="str">
        <f>VLOOKUP($A25,字段列表!$A:$G,5,0)</f>
        <v>-</v>
      </c>
      <c r="F25" s="47" t="str">
        <f>VLOOKUP($A25,字段列表!$A:$G,6,0)</f>
        <v>Y</v>
      </c>
      <c r="G25" s="47" t="str">
        <f>VLOOKUP($A25,字段列表!$A:$G,7,0)</f>
        <v>NUM</v>
      </c>
      <c r="H25" s="47" t="s">
        <v>724</v>
      </c>
      <c r="I25" s="30"/>
    </row>
    <row r="26" spans="1:9" ht="15" x14ac:dyDescent="0.3">
      <c r="A26" s="70" t="s">
        <v>346</v>
      </c>
      <c r="B26" s="50" t="str">
        <f>VLOOKUP(A26,字段列表!$A:$G,2,0)</f>
        <v>supplierCode</v>
      </c>
      <c r="C26" s="8" t="s">
        <v>15</v>
      </c>
      <c r="D26" s="47" t="str">
        <f>VLOOKUP($A26,字段列表!$A:$G,3,0)</f>
        <v>VARCHAR</v>
      </c>
      <c r="E26" s="47" t="str">
        <f>VLOOKUP($A26,字段列表!$A:$G,5,0)</f>
        <v>-</v>
      </c>
      <c r="F26" s="47" t="str">
        <f>VLOOKUP($A26,字段列表!$A:$G,6,0)</f>
        <v>Y</v>
      </c>
      <c r="G26" s="47" t="str">
        <f>VLOOKUP($A26,字段列表!$A:$G,7,0)</f>
        <v>SEL-2</v>
      </c>
      <c r="H26" s="47" t="s">
        <v>724</v>
      </c>
      <c r="I26" s="30"/>
    </row>
    <row r="27" spans="1:9" ht="15" x14ac:dyDescent="0.3">
      <c r="A27" s="70" t="s">
        <v>347</v>
      </c>
      <c r="B27" s="50" t="str">
        <f>VLOOKUP(A27,字段列表!$A:$G,2,0)</f>
        <v>supplierDesc</v>
      </c>
      <c r="C27" s="8" t="s">
        <v>15</v>
      </c>
      <c r="D27" s="47" t="str">
        <f>VLOOKUP($A27,字段列表!$A:$G,3,0)</f>
        <v>VARCHAR</v>
      </c>
      <c r="E27" s="47" t="str">
        <f>VLOOKUP($A27,字段列表!$A:$G,5,0)</f>
        <v>-</v>
      </c>
      <c r="F27" s="47" t="str">
        <f>VLOOKUP($A27,字段列表!$A:$G,6,0)</f>
        <v>-</v>
      </c>
      <c r="G27" s="47" t="str">
        <f>VLOOKUP($A27,字段列表!$A:$G,7,0)</f>
        <v>-</v>
      </c>
      <c r="H27" s="47" t="s">
        <v>724</v>
      </c>
      <c r="I27" s="30"/>
    </row>
    <row r="28" spans="1:9" ht="30" x14ac:dyDescent="0.3">
      <c r="A28" s="70" t="s">
        <v>5</v>
      </c>
      <c r="B28" s="50" t="str">
        <f>VLOOKUP(A28,字段列表!$A:$G,2,0)</f>
        <v>requiredMaterialDate</v>
      </c>
      <c r="C28" s="8" t="s">
        <v>92</v>
      </c>
      <c r="D28" s="47" t="str">
        <f>VLOOKUP($A28,字段列表!$A:$G,3,0)</f>
        <v>Date</v>
      </c>
      <c r="E28" s="47" t="str">
        <f>VLOOKUP($A28,字段列表!$A:$G,5,0)</f>
        <v>-</v>
      </c>
      <c r="F28" s="47" t="str">
        <f>VLOOKUP($A28,字段列表!$A:$G,6,0)</f>
        <v>Y</v>
      </c>
      <c r="G28" s="47" t="str">
        <f>VLOOKUP($A28,字段列表!$A:$G,7,0)</f>
        <v>DATA</v>
      </c>
      <c r="H28" s="47" t="s">
        <v>724</v>
      </c>
      <c r="I28" s="3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selection sqref="A1:B1"/>
    </sheetView>
  </sheetViews>
  <sheetFormatPr defaultRowHeight="13.2" x14ac:dyDescent="0.3"/>
  <cols>
    <col min="1" max="1" width="16.44140625" style="28" customWidth="1"/>
    <col min="2" max="2" width="22.21875" style="54" customWidth="1"/>
    <col min="3" max="3" width="52.88671875" style="25" customWidth="1"/>
    <col min="4" max="7" width="10.44140625" style="25" bestFit="1" customWidth="1"/>
    <col min="8" max="8" width="27.6640625" style="25" customWidth="1"/>
    <col min="9" max="16384" width="8.88671875" style="25"/>
  </cols>
  <sheetData>
    <row r="1" spans="1:8" x14ac:dyDescent="0.3">
      <c r="A1" s="38" t="s">
        <v>215</v>
      </c>
      <c r="B1" s="33" t="s">
        <v>396</v>
      </c>
      <c r="C1" s="40" t="s">
        <v>13</v>
      </c>
      <c r="D1" s="33" t="s">
        <v>58</v>
      </c>
      <c r="E1" s="33" t="s">
        <v>211</v>
      </c>
      <c r="F1" s="33" t="s">
        <v>213</v>
      </c>
      <c r="G1" s="33" t="s">
        <v>55</v>
      </c>
      <c r="H1" s="43" t="s">
        <v>16</v>
      </c>
    </row>
    <row r="2" spans="1:8" ht="15" x14ac:dyDescent="0.3">
      <c r="A2" s="26" t="s">
        <v>12</v>
      </c>
      <c r="B2" s="26" t="str">
        <f>VLOOKUP(A2,字段列表!$A:$G,2,0)</f>
        <v>seqNo</v>
      </c>
      <c r="C2" s="26" t="s">
        <v>14</v>
      </c>
      <c r="D2" s="47" t="str">
        <f>VLOOKUP($A2,字段列表!$A:$G,3,0)</f>
        <v>VARCHAR</v>
      </c>
      <c r="E2" s="47" t="str">
        <f>VLOOKUP($A2,字段列表!$A:$G,5,0)</f>
        <v>-</v>
      </c>
      <c r="F2" s="47" t="str">
        <f>VLOOKUP($A2,字段列表!$A:$G,6,0)</f>
        <v>-</v>
      </c>
      <c r="G2" s="47" t="str">
        <f>VLOOKUP($A2,字段列表!$A:$G,7,0)</f>
        <v>-</v>
      </c>
      <c r="H2" s="1"/>
    </row>
    <row r="3" spans="1:8" x14ac:dyDescent="0.3">
      <c r="A3" s="26" t="s">
        <v>46</v>
      </c>
      <c r="B3" s="26" t="str">
        <f>VLOOKUP(A3,字段列表!$A:$G,2,0)</f>
        <v>configCode</v>
      </c>
      <c r="C3" s="24" t="s">
        <v>82</v>
      </c>
      <c r="D3" s="47" t="str">
        <f>VLOOKUP($A3,字段列表!$A:$G,3,0)</f>
        <v>VARCHAR</v>
      </c>
      <c r="E3" s="47" t="str">
        <f>VLOOKUP($A3,字段列表!$A:$G,5,0)</f>
        <v>Y</v>
      </c>
      <c r="F3" s="47" t="str">
        <f>VLOOKUP($A3,字段列表!$A:$G,6,0)</f>
        <v>Y</v>
      </c>
      <c r="G3" s="47" t="str">
        <f>VLOOKUP($A3,字段列表!$A:$G,7,0)</f>
        <v>TXT-1</v>
      </c>
      <c r="H3" s="57" t="s">
        <v>412</v>
      </c>
    </row>
    <row r="4" spans="1:8" ht="15" x14ac:dyDescent="0.3">
      <c r="A4" s="26" t="s">
        <v>44</v>
      </c>
      <c r="B4" s="26" t="str">
        <f>VLOOKUP(A4,字段列表!$A:$G,2,0)</f>
        <v>runTime</v>
      </c>
      <c r="C4" s="26" t="s">
        <v>149</v>
      </c>
      <c r="D4" s="47" t="str">
        <f>VLOOKUP($A4,字段列表!$A:$G,3,0)</f>
        <v>Date</v>
      </c>
      <c r="E4" s="47" t="str">
        <f>VLOOKUP($A4,字段列表!$A:$G,5,0)</f>
        <v>-</v>
      </c>
      <c r="F4" s="47" t="str">
        <f>VLOOKUP($A4,字段列表!$A:$G,6,0)</f>
        <v>Y</v>
      </c>
      <c r="G4" s="47" t="str">
        <f>VLOOKUP($A4,字段列表!$A:$G,7,0)</f>
        <v>DATA</v>
      </c>
      <c r="H4" s="1"/>
    </row>
    <row r="5" spans="1:8" ht="15" x14ac:dyDescent="0.3">
      <c r="A5" s="26" t="s">
        <v>45</v>
      </c>
      <c r="B5" s="26" t="str">
        <f>VLOOKUP(A5,字段列表!$A:$G,2,0)</f>
        <v>lastRunBy</v>
      </c>
      <c r="C5" s="26" t="s">
        <v>150</v>
      </c>
      <c r="D5" s="47" t="str">
        <f>VLOOKUP($A5,字段列表!$A:$G,3,0)</f>
        <v>VARCHAR</v>
      </c>
      <c r="E5" s="47" t="str">
        <f>VLOOKUP($A5,字段列表!$A:$G,5,0)</f>
        <v>-</v>
      </c>
      <c r="F5" s="47" t="str">
        <f>VLOOKUP($A5,字段列表!$A:$G,6,0)</f>
        <v>Y</v>
      </c>
      <c r="G5" s="47" t="str">
        <f>VLOOKUP($A5,字段列表!$A:$G,7,0)</f>
        <v>TXT-2</v>
      </c>
      <c r="H5" s="1"/>
    </row>
    <row r="6" spans="1:8" ht="15" x14ac:dyDescent="0.3">
      <c r="A6" s="26" t="s">
        <v>18</v>
      </c>
      <c r="B6" s="26" t="str">
        <f>VLOOKUP(A6,字段列表!$A:$G,2,0)</f>
        <v>orgName</v>
      </c>
      <c r="C6" s="26" t="s">
        <v>15</v>
      </c>
      <c r="D6" s="47" t="str">
        <f>VLOOKUP($A6,字段列表!$A:$G,3,0)</f>
        <v>VARCHAR</v>
      </c>
      <c r="E6" s="47" t="str">
        <f>VLOOKUP($A6,字段列表!$A:$G,5,0)</f>
        <v>Y</v>
      </c>
      <c r="F6" s="47" t="str">
        <f>VLOOKUP($A6,字段列表!$A:$G,6,0)</f>
        <v>Y</v>
      </c>
      <c r="G6" s="47" t="str">
        <f>VLOOKUP($A6,字段列表!$A:$G,7,0)</f>
        <v>SEL-1</v>
      </c>
      <c r="H6" s="1"/>
    </row>
    <row r="7" spans="1:8" ht="15" x14ac:dyDescent="0.3">
      <c r="A7" s="26" t="s">
        <v>19</v>
      </c>
      <c r="B7" s="26" t="str">
        <f>VLOOKUP(A7,字段列表!$A:$G,2,0)</f>
        <v>orderNo</v>
      </c>
      <c r="C7" s="26" t="s">
        <v>106</v>
      </c>
      <c r="D7" s="47" t="str">
        <f>VLOOKUP($A7,字段列表!$A:$G,3,0)</f>
        <v>VARCHAR</v>
      </c>
      <c r="E7" s="47" t="str">
        <f>VLOOKUP($A7,字段列表!$A:$G,5,0)</f>
        <v>Y</v>
      </c>
      <c r="F7" s="47" t="str">
        <f>VLOOKUP($A7,字段列表!$A:$G,6,0)</f>
        <v>Y</v>
      </c>
      <c r="G7" s="47" t="str">
        <f>VLOOKUP($A7,字段列表!$A:$G,7,0)</f>
        <v>TXT-1</v>
      </c>
      <c r="H7" s="1"/>
    </row>
    <row r="8" spans="1:8" ht="15" x14ac:dyDescent="0.3">
      <c r="A8" s="26" t="s">
        <v>20</v>
      </c>
      <c r="B8" s="26" t="str">
        <f>VLOOKUP(A8,字段列表!$A:$G,2,0)</f>
        <v>orderCreateDate</v>
      </c>
      <c r="C8" s="26" t="s">
        <v>38</v>
      </c>
      <c r="D8" s="47" t="str">
        <f>VLOOKUP($A8,字段列表!$A:$G,3,0)</f>
        <v>Date</v>
      </c>
      <c r="E8" s="47" t="str">
        <f>VLOOKUP($A8,字段列表!$A:$G,5,0)</f>
        <v>-</v>
      </c>
      <c r="F8" s="47" t="str">
        <f>VLOOKUP($A8,字段列表!$A:$G,6,0)</f>
        <v>Y</v>
      </c>
      <c r="G8" s="47" t="str">
        <f>VLOOKUP($A8,字段列表!$A:$G,7,0)</f>
        <v>DATA</v>
      </c>
      <c r="H8" s="1"/>
    </row>
    <row r="9" spans="1:8" ht="15" x14ac:dyDescent="0.3">
      <c r="A9" s="26" t="s">
        <v>21</v>
      </c>
      <c r="B9" s="26" t="str">
        <f>VLOOKUP(A9,字段列表!$A:$G,2,0)</f>
        <v>orderCreator</v>
      </c>
      <c r="C9" s="26" t="s">
        <v>38</v>
      </c>
      <c r="D9" s="47" t="str">
        <f>VLOOKUP($A9,字段列表!$A:$G,3,0)</f>
        <v>VARCHAR</v>
      </c>
      <c r="E9" s="47" t="str">
        <f>VLOOKUP($A9,字段列表!$A:$G,5,0)</f>
        <v>-</v>
      </c>
      <c r="F9" s="47" t="str">
        <f>VLOOKUP($A9,字段列表!$A:$G,6,0)</f>
        <v>Y</v>
      </c>
      <c r="G9" s="47" t="str">
        <f>VLOOKUP($A9,字段列表!$A:$G,7,0)</f>
        <v>TXT-2</v>
      </c>
      <c r="H9" s="1"/>
    </row>
    <row r="10" spans="1:8" ht="15" x14ac:dyDescent="0.3">
      <c r="A10" s="26" t="s">
        <v>22</v>
      </c>
      <c r="B10" s="26" t="str">
        <f>VLOOKUP(A10,字段列表!$A:$G,2,0)</f>
        <v>orderType</v>
      </c>
      <c r="C10" s="26" t="s">
        <v>38</v>
      </c>
      <c r="D10" s="47" t="str">
        <f>VLOOKUP($A10,字段列表!$A:$G,3,0)</f>
        <v>VARCHAR</v>
      </c>
      <c r="E10" s="47" t="str">
        <f>VLOOKUP($A10,字段列表!$A:$G,5,0)</f>
        <v>Y</v>
      </c>
      <c r="F10" s="47" t="str">
        <f>VLOOKUP($A10,字段列表!$A:$G,6,0)</f>
        <v>Y</v>
      </c>
      <c r="G10" s="47" t="str">
        <f>VLOOKUP($A10,字段列表!$A:$G,7,0)</f>
        <v>SEL-2</v>
      </c>
      <c r="H10" s="1"/>
    </row>
    <row r="11" spans="1:8" ht="15" x14ac:dyDescent="0.3">
      <c r="A11" s="26" t="s">
        <v>165</v>
      </c>
      <c r="B11" s="26" t="str">
        <f>VLOOKUP(A11,字段列表!$A:$G,2,0)</f>
        <v>productLine</v>
      </c>
      <c r="C11" s="26" t="s">
        <v>38</v>
      </c>
      <c r="D11" s="47" t="str">
        <f>VLOOKUP($A11,字段列表!$A:$G,3,0)</f>
        <v>VARCHAR</v>
      </c>
      <c r="E11" s="47" t="str">
        <f>VLOOKUP($A11,字段列表!$A:$G,5,0)</f>
        <v>-</v>
      </c>
      <c r="F11" s="47" t="str">
        <f>VLOOKUP($A11,字段列表!$A:$G,6,0)</f>
        <v>Y</v>
      </c>
      <c r="G11" s="47" t="str">
        <f>VLOOKUP($A11,字段列表!$A:$G,7,0)</f>
        <v>SEL-2</v>
      </c>
      <c r="H11" s="1"/>
    </row>
    <row r="12" spans="1:8" ht="15" x14ac:dyDescent="0.3">
      <c r="A12" s="26" t="s">
        <v>23</v>
      </c>
      <c r="B12" s="26" t="str">
        <f>VLOOKUP(A12,字段列表!$A:$G,2,0)</f>
        <v>materialCode</v>
      </c>
      <c r="C12" s="26" t="s">
        <v>15</v>
      </c>
      <c r="D12" s="47" t="str">
        <f>VLOOKUP($A12,字段列表!$A:$G,3,0)</f>
        <v>VARCHAR</v>
      </c>
      <c r="E12" s="47" t="str">
        <f>VLOOKUP($A12,字段列表!$A:$G,5,0)</f>
        <v>Y</v>
      </c>
      <c r="F12" s="47" t="str">
        <f>VLOOKUP($A12,字段列表!$A:$G,6,0)</f>
        <v>Y</v>
      </c>
      <c r="G12" s="47" t="str">
        <f>VLOOKUP($A12,字段列表!$A:$G,7,0)</f>
        <v>TXT-1</v>
      </c>
      <c r="H12" s="1"/>
    </row>
    <row r="13" spans="1:8" ht="15" x14ac:dyDescent="0.3">
      <c r="A13" s="26" t="s">
        <v>103</v>
      </c>
      <c r="B13" s="26" t="str">
        <f>VLOOKUP(A13,字段列表!$A:$G,2,0)</f>
        <v>dieStackQty</v>
      </c>
      <c r="C13" s="26" t="s">
        <v>104</v>
      </c>
      <c r="D13" s="47" t="str">
        <f>VLOOKUP($A13,字段列表!$A:$G,3,0)</f>
        <v>VARCHAR</v>
      </c>
      <c r="E13" s="47" t="str">
        <f>VLOOKUP($A13,字段列表!$A:$G,5,0)</f>
        <v>-</v>
      </c>
      <c r="F13" s="47" t="str">
        <f>VLOOKUP($A13,字段列表!$A:$G,6,0)</f>
        <v>Y</v>
      </c>
      <c r="G13" s="47" t="str">
        <f>VLOOKUP($A13,字段列表!$A:$G,7,0)</f>
        <v>TXT-2</v>
      </c>
      <c r="H13" s="1"/>
    </row>
    <row r="14" spans="1:8" ht="15" x14ac:dyDescent="0.3">
      <c r="A14" s="26" t="s">
        <v>24</v>
      </c>
      <c r="B14" s="26" t="str">
        <f>VLOOKUP(A14,字段列表!$A:$G,2,0)</f>
        <v>productCategory</v>
      </c>
      <c r="C14" s="26" t="s">
        <v>15</v>
      </c>
      <c r="D14" s="47" t="str">
        <f>VLOOKUP($A14,字段列表!$A:$G,3,0)</f>
        <v>VARCHAR</v>
      </c>
      <c r="E14" s="47" t="str">
        <f>VLOOKUP($A14,字段列表!$A:$G,5,0)</f>
        <v>-</v>
      </c>
      <c r="F14" s="47" t="str">
        <f>VLOOKUP($A14,字段列表!$A:$G,6,0)</f>
        <v>Y</v>
      </c>
      <c r="G14" s="47" t="str">
        <f>VLOOKUP($A14,字段列表!$A:$G,7,0)</f>
        <v>SEL-2</v>
      </c>
      <c r="H14" s="1"/>
    </row>
    <row r="15" spans="1:8" ht="15" x14ac:dyDescent="0.3">
      <c r="A15" s="26" t="s">
        <v>25</v>
      </c>
      <c r="B15" s="26" t="str">
        <f>VLOOKUP(A15,字段列表!$A:$G,2,0)</f>
        <v>capacity</v>
      </c>
      <c r="C15" s="26" t="s">
        <v>15</v>
      </c>
      <c r="D15" s="47" t="str">
        <f>VLOOKUP($A15,字段列表!$A:$G,3,0)</f>
        <v>VARCHAR</v>
      </c>
      <c r="E15" s="47" t="str">
        <f>VLOOKUP($A15,字段列表!$A:$G,5,0)</f>
        <v>-</v>
      </c>
      <c r="F15" s="47" t="str">
        <f>VLOOKUP($A15,字段列表!$A:$G,6,0)</f>
        <v>Y</v>
      </c>
      <c r="G15" s="47" t="str">
        <f>VLOOKUP($A15,字段列表!$A:$G,7,0)</f>
        <v>SEL-2</v>
      </c>
      <c r="H15" s="1"/>
    </row>
    <row r="16" spans="1:8" ht="15" x14ac:dyDescent="0.3">
      <c r="A16" s="26" t="s">
        <v>26</v>
      </c>
      <c r="B16" s="26" t="str">
        <f>VLOOKUP(A16,字段列表!$A:$G,2,0)</f>
        <v>productPn</v>
      </c>
      <c r="C16" s="26" t="s">
        <v>15</v>
      </c>
      <c r="D16" s="47" t="str">
        <f>VLOOKUP($A16,字段列表!$A:$G,3,0)</f>
        <v>VARCHAR</v>
      </c>
      <c r="E16" s="47" t="str">
        <f>VLOOKUP($A16,字段列表!$A:$G,5,0)</f>
        <v>-</v>
      </c>
      <c r="F16" s="47" t="str">
        <f>VLOOKUP($A16,字段列表!$A:$G,6,0)</f>
        <v>Y</v>
      </c>
      <c r="G16" s="47" t="str">
        <f>VLOOKUP($A16,字段列表!$A:$G,7,0)</f>
        <v>TXT-2</v>
      </c>
      <c r="H16" s="1"/>
    </row>
    <row r="17" spans="1:8" ht="15" x14ac:dyDescent="0.3">
      <c r="A17" s="26" t="s">
        <v>27</v>
      </c>
      <c r="B17" s="26" t="str">
        <f>VLOOKUP(A17,字段列表!$A:$G,2,0)</f>
        <v>materialDes</v>
      </c>
      <c r="C17" s="26" t="s">
        <v>15</v>
      </c>
      <c r="D17" s="47" t="str">
        <f>VLOOKUP($A17,字段列表!$A:$G,3,0)</f>
        <v>VARCHAR</v>
      </c>
      <c r="E17" s="47" t="str">
        <f>VLOOKUP($A17,字段列表!$A:$G,5,0)</f>
        <v>-</v>
      </c>
      <c r="F17" s="47" t="str">
        <f>VLOOKUP($A17,字段列表!$A:$G,6,0)</f>
        <v>Y</v>
      </c>
      <c r="G17" s="47" t="str">
        <f>VLOOKUP($A17,字段列表!$A:$G,7,0)</f>
        <v>TXT-2</v>
      </c>
      <c r="H17" s="1"/>
    </row>
    <row r="18" spans="1:8" ht="15" x14ac:dyDescent="0.3">
      <c r="A18" s="26" t="s">
        <v>28</v>
      </c>
      <c r="B18" s="26" t="str">
        <f>VLOOKUP(A18,字段列表!$A:$G,2,0)</f>
        <v>orderQty</v>
      </c>
      <c r="C18" s="26" t="s">
        <v>38</v>
      </c>
      <c r="D18" s="47" t="str">
        <f>VLOOKUP($A18,字段列表!$A:$G,3,0)</f>
        <v>VARCHAR</v>
      </c>
      <c r="E18" s="47" t="str">
        <f>VLOOKUP($A18,字段列表!$A:$G,5,0)</f>
        <v>-</v>
      </c>
      <c r="F18" s="47" t="str">
        <f>VLOOKUP($A18,字段列表!$A:$G,6,0)</f>
        <v>Y</v>
      </c>
      <c r="G18" s="47" t="str">
        <f>VLOOKUP($A18,字段列表!$A:$G,7,0)</f>
        <v>NUM</v>
      </c>
      <c r="H18" s="1"/>
    </row>
    <row r="19" spans="1:8" ht="15" x14ac:dyDescent="0.3">
      <c r="A19" s="26" t="s">
        <v>29</v>
      </c>
      <c r="B19" s="26" t="str">
        <f>VLOOKUP(A19,字段列表!$A:$G,2,0)</f>
        <v>requiredCompletionDate</v>
      </c>
      <c r="C19" s="26" t="s">
        <v>38</v>
      </c>
      <c r="D19" s="47" t="str">
        <f>VLOOKUP($A19,字段列表!$A:$G,3,0)</f>
        <v>Date</v>
      </c>
      <c r="E19" s="47" t="str">
        <f>VLOOKUP($A19,字段列表!$A:$G,5,0)</f>
        <v>Y</v>
      </c>
      <c r="F19" s="47" t="str">
        <f>VLOOKUP($A19,字段列表!$A:$G,6,0)</f>
        <v>Y</v>
      </c>
      <c r="G19" s="47" t="str">
        <f>VLOOKUP($A19,字段列表!$A:$G,7,0)</f>
        <v>DATA</v>
      </c>
      <c r="H19" s="1"/>
    </row>
    <row r="20" spans="1:8" ht="15" x14ac:dyDescent="0.3">
      <c r="A20" s="26" t="s">
        <v>17</v>
      </c>
      <c r="B20" s="26" t="str">
        <f>VLOOKUP(A20,字段列表!$A:$G,2,0)</f>
        <v>workOrderCategory</v>
      </c>
      <c r="C20" s="26" t="s">
        <v>15</v>
      </c>
      <c r="D20" s="47" t="str">
        <f>VLOOKUP($A20,字段列表!$A:$G,3,0)</f>
        <v>VARCHAR</v>
      </c>
      <c r="E20" s="47" t="str">
        <f>VLOOKUP($A20,字段列表!$A:$G,5,0)</f>
        <v>-</v>
      </c>
      <c r="F20" s="47" t="str">
        <f>VLOOKUP($A20,字段列表!$A:$G,6,0)</f>
        <v>Y</v>
      </c>
      <c r="G20" s="47" t="str">
        <f>VLOOKUP($A20,字段列表!$A:$G,7,0)</f>
        <v>SEL-2</v>
      </c>
      <c r="H20" s="1"/>
    </row>
    <row r="21" spans="1:8" ht="15" x14ac:dyDescent="0.3">
      <c r="A21" s="26" t="s">
        <v>30</v>
      </c>
      <c r="B21" s="26" t="str">
        <f>VLOOKUP(A21,字段列表!$A:$G,2,0)</f>
        <v>workOrderStatus</v>
      </c>
      <c r="C21" s="26" t="s">
        <v>15</v>
      </c>
      <c r="D21" s="47" t="str">
        <f>VLOOKUP($A21,字段列表!$A:$G,3,0)</f>
        <v>VARCHAR</v>
      </c>
      <c r="E21" s="47" t="str">
        <f>VLOOKUP($A21,字段列表!$A:$G,5,0)</f>
        <v>-</v>
      </c>
      <c r="F21" s="47" t="str">
        <f>VLOOKUP($A21,字段列表!$A:$G,6,0)</f>
        <v>Y</v>
      </c>
      <c r="G21" s="47" t="str">
        <f>VLOOKUP($A21,字段列表!$A:$G,7,0)</f>
        <v>SEL-2</v>
      </c>
      <c r="H21" s="1"/>
    </row>
    <row r="22" spans="1:8" ht="39.6" x14ac:dyDescent="0.3">
      <c r="A22" s="26" t="s">
        <v>502</v>
      </c>
      <c r="B22" s="26" t="str">
        <f>VLOOKUP(A22,字段列表!$A:$G,2,0)</f>
        <v>workOrderNo</v>
      </c>
      <c r="C22" s="26" t="s">
        <v>758</v>
      </c>
      <c r="D22" s="47" t="str">
        <f>VLOOKUP($A22,字段列表!$A:$G,3,0)</f>
        <v>VARCHAR</v>
      </c>
      <c r="E22" s="47" t="str">
        <f>VLOOKUP($A22,字段列表!$A:$G,5,0)</f>
        <v>Y</v>
      </c>
      <c r="F22" s="47" t="str">
        <f>VLOOKUP($A22,字段列表!$A:$G,6,0)</f>
        <v>Y</v>
      </c>
      <c r="G22" s="47" t="str">
        <f>VLOOKUP($A22,字段列表!$A:$G,7,0)</f>
        <v>TXT-1</v>
      </c>
      <c r="H22" s="2"/>
    </row>
    <row r="23" spans="1:8" ht="15" x14ac:dyDescent="0.3">
      <c r="A23" s="26" t="s">
        <v>49</v>
      </c>
      <c r="B23" s="26" t="str">
        <f>VLOOKUP(A23,字段列表!$A:$G,2,0)</f>
        <v>workOrderPriority</v>
      </c>
      <c r="C23" s="26" t="s">
        <v>50</v>
      </c>
      <c r="D23" s="47" t="str">
        <f>VLOOKUP($A23,字段列表!$A:$G,3,0)</f>
        <v>INT</v>
      </c>
      <c r="E23" s="47" t="str">
        <f>VLOOKUP($A23,字段列表!$A:$G,5,0)</f>
        <v>Y</v>
      </c>
      <c r="F23" s="47" t="str">
        <f>VLOOKUP($A23,字段列表!$A:$G,6,0)</f>
        <v>Y</v>
      </c>
      <c r="G23" s="47" t="str">
        <f>VLOOKUP($A23,字段列表!$A:$G,7,0)</f>
        <v>NUM</v>
      </c>
      <c r="H23" s="1"/>
    </row>
    <row r="24" spans="1:8" ht="15" x14ac:dyDescent="0.3">
      <c r="A24" s="26" t="s">
        <v>31</v>
      </c>
      <c r="B24" s="26" t="str">
        <f>VLOOKUP(A24,字段列表!$A:$G,2,0)</f>
        <v>transferBy</v>
      </c>
      <c r="C24" s="26" t="s">
        <v>15</v>
      </c>
      <c r="D24" s="47" t="str">
        <f>VLOOKUP($A24,字段列表!$A:$G,3,0)</f>
        <v>VARCHAR</v>
      </c>
      <c r="E24" s="47" t="str">
        <f>VLOOKUP($A24,字段列表!$A:$G,5,0)</f>
        <v>-</v>
      </c>
      <c r="F24" s="47" t="str">
        <f>VLOOKUP($A24,字段列表!$A:$G,6,0)</f>
        <v>Y</v>
      </c>
      <c r="G24" s="47" t="str">
        <f>VLOOKUP($A24,字段列表!$A:$G,7,0)</f>
        <v>TXT-2</v>
      </c>
      <c r="H24" s="1"/>
    </row>
    <row r="25" spans="1:8" ht="15" x14ac:dyDescent="0.3">
      <c r="A25" s="26" t="s">
        <v>32</v>
      </c>
      <c r="B25" s="26" t="str">
        <f>VLOOKUP(A25,字段列表!$A:$G,2,0)</f>
        <v>transferTime</v>
      </c>
      <c r="C25" s="26" t="s">
        <v>15</v>
      </c>
      <c r="D25" s="47" t="str">
        <f>VLOOKUP($A25,字段列表!$A:$G,3,0)</f>
        <v>Date</v>
      </c>
      <c r="E25" s="47" t="str">
        <f>VLOOKUP($A25,字段列表!$A:$G,5,0)</f>
        <v>-</v>
      </c>
      <c r="F25" s="47" t="str">
        <f>VLOOKUP($A25,字段列表!$A:$G,6,0)</f>
        <v>Y</v>
      </c>
      <c r="G25" s="47" t="str">
        <f>VLOOKUP($A25,字段列表!$A:$G,7,0)</f>
        <v>DATA</v>
      </c>
      <c r="H25" s="1"/>
    </row>
    <row r="26" spans="1:8" ht="15" x14ac:dyDescent="0.3">
      <c r="A26" s="26" t="s">
        <v>33</v>
      </c>
      <c r="B26" s="26" t="str">
        <f>VLOOKUP(A26,字段列表!$A:$G,2,0)</f>
        <v>transferQty</v>
      </c>
      <c r="C26" s="26" t="s">
        <v>15</v>
      </c>
      <c r="D26" s="47" t="str">
        <f>VLOOKUP($A26,字段列表!$A:$G,3,0)</f>
        <v>VARCHAR</v>
      </c>
      <c r="E26" s="47" t="str">
        <f>VLOOKUP($A26,字段列表!$A:$G,5,0)</f>
        <v>-</v>
      </c>
      <c r="F26" s="47" t="str">
        <f>VLOOKUP($A26,字段列表!$A:$G,6,0)</f>
        <v>Y</v>
      </c>
      <c r="G26" s="47" t="str">
        <f>VLOOKUP($A26,字段列表!$A:$G,7,0)</f>
        <v>NUM</v>
      </c>
      <c r="H26" s="1"/>
    </row>
    <row r="27" spans="1:8" ht="15" x14ac:dyDescent="0.3">
      <c r="A27" s="26" t="s">
        <v>35</v>
      </c>
      <c r="B27" s="26" t="str">
        <f>VLOOKUP(A27,字段列表!$A:$G,2,0)</f>
        <v>completedQty</v>
      </c>
      <c r="C27" s="26" t="s">
        <v>15</v>
      </c>
      <c r="D27" s="47" t="str">
        <f>VLOOKUP($A27,字段列表!$A:$G,3,0)</f>
        <v>VARCHAR</v>
      </c>
      <c r="E27" s="47" t="str">
        <f>VLOOKUP($A27,字段列表!$A:$G,5,0)</f>
        <v>-</v>
      </c>
      <c r="F27" s="47" t="str">
        <f>VLOOKUP($A27,字段列表!$A:$G,6,0)</f>
        <v>Y</v>
      </c>
      <c r="G27" s="47" t="str">
        <f>VLOOKUP($A27,字段列表!$A:$G,7,0)</f>
        <v>NUM</v>
      </c>
      <c r="H27" s="1"/>
    </row>
    <row r="28" spans="1:8" ht="15" x14ac:dyDescent="0.3">
      <c r="A28" s="26" t="s">
        <v>36</v>
      </c>
      <c r="B28" s="26" t="str">
        <f>VLOOKUP(A28,字段列表!$A:$G,2,0)</f>
        <v>scrapQty</v>
      </c>
      <c r="C28" s="26" t="s">
        <v>15</v>
      </c>
      <c r="D28" s="47" t="str">
        <f>VLOOKUP($A28,字段列表!$A:$G,3,0)</f>
        <v>VARCHAR</v>
      </c>
      <c r="E28" s="47" t="str">
        <f>VLOOKUP($A28,字段列表!$A:$G,5,0)</f>
        <v>-</v>
      </c>
      <c r="F28" s="47" t="str">
        <f>VLOOKUP($A28,字段列表!$A:$G,6,0)</f>
        <v>Y</v>
      </c>
      <c r="G28" s="47" t="str">
        <f>VLOOKUP($A28,字段列表!$A:$G,7,0)</f>
        <v>NUM</v>
      </c>
      <c r="H28" s="1"/>
    </row>
    <row r="29" spans="1:8" ht="15" x14ac:dyDescent="0.3">
      <c r="A29" s="26" t="s">
        <v>34</v>
      </c>
      <c r="B29" s="26" t="str">
        <f>VLOOKUP(A29,字段列表!$A:$G,2,0)</f>
        <v>incompleteQty</v>
      </c>
      <c r="C29" s="26" t="s">
        <v>15</v>
      </c>
      <c r="D29" s="47" t="str">
        <f>VLOOKUP($A29,字段列表!$A:$G,3,0)</f>
        <v>VARCHAR</v>
      </c>
      <c r="E29" s="47" t="str">
        <f>VLOOKUP($A29,字段列表!$A:$G,5,0)</f>
        <v>-</v>
      </c>
      <c r="F29" s="47" t="str">
        <f>VLOOKUP($A29,字段列表!$A:$G,6,0)</f>
        <v>Y</v>
      </c>
      <c r="G29" s="47" t="str">
        <f>VLOOKUP($A29,字段列表!$A:$G,7,0)</f>
        <v>NUM</v>
      </c>
      <c r="H29" s="1"/>
    </row>
    <row r="30" spans="1:8" ht="15" x14ac:dyDescent="0.3">
      <c r="A30" s="26" t="s">
        <v>346</v>
      </c>
      <c r="B30" s="26" t="str">
        <f>VLOOKUP(A30,字段列表!$A:$G,2,0)</f>
        <v>supplierCode</v>
      </c>
      <c r="C30" s="26" t="s">
        <v>148</v>
      </c>
      <c r="D30" s="47" t="str">
        <f>VLOOKUP($A30,字段列表!$A:$G,3,0)</f>
        <v>VARCHAR</v>
      </c>
      <c r="E30" s="47" t="str">
        <f>VLOOKUP($A30,字段列表!$A:$G,5,0)</f>
        <v>-</v>
      </c>
      <c r="F30" s="47" t="str">
        <f>VLOOKUP($A30,字段列表!$A:$G,6,0)</f>
        <v>Y</v>
      </c>
      <c r="G30" s="47" t="str">
        <f>VLOOKUP($A30,字段列表!$A:$G,7,0)</f>
        <v>SEL-2</v>
      </c>
      <c r="H30" s="1"/>
    </row>
    <row r="31" spans="1:8" ht="26.4" x14ac:dyDescent="0.3">
      <c r="A31" s="26" t="s">
        <v>5</v>
      </c>
      <c r="B31" s="26" t="str">
        <f>VLOOKUP(A31,字段列表!$A:$G,2,0)</f>
        <v>requiredMaterialDate</v>
      </c>
      <c r="C31" s="26" t="s">
        <v>92</v>
      </c>
      <c r="D31" s="47" t="str">
        <f>VLOOKUP($A31,字段列表!$A:$G,3,0)</f>
        <v>Date</v>
      </c>
      <c r="E31" s="47" t="str">
        <f>VLOOKUP($A31,字段列表!$A:$G,5,0)</f>
        <v>-</v>
      </c>
      <c r="F31" s="47" t="str">
        <f>VLOOKUP($A31,字段列表!$A:$G,6,0)</f>
        <v>Y</v>
      </c>
      <c r="G31" s="47" t="str">
        <f>VLOOKUP($A31,字段列表!$A:$G,7,0)</f>
        <v>DATA</v>
      </c>
      <c r="H31" s="1"/>
    </row>
    <row r="32" spans="1:8" ht="26.4" x14ac:dyDescent="0.3">
      <c r="A32" s="26" t="s">
        <v>8</v>
      </c>
      <c r="B32" s="26" t="str">
        <f>VLOOKUP(A32,字段列表!$A:$G,2,0)</f>
        <v>estimatedMaterialReadyDate</v>
      </c>
      <c r="C32" s="30" t="s">
        <v>107</v>
      </c>
      <c r="D32" s="47" t="str">
        <f>VLOOKUP($A32,字段列表!$A:$G,3,0)</f>
        <v>Date</v>
      </c>
      <c r="E32" s="47" t="str">
        <f>VLOOKUP($A32,字段列表!$A:$G,5,0)</f>
        <v>-</v>
      </c>
      <c r="F32" s="47" t="str">
        <f>VLOOKUP($A32,字段列表!$A:$G,6,0)</f>
        <v>Y</v>
      </c>
      <c r="G32" s="47" t="str">
        <f>VLOOKUP($A32,字段列表!$A:$G,7,0)</f>
        <v>DATA</v>
      </c>
      <c r="H32" s="1"/>
    </row>
    <row r="33" spans="1:10" ht="15" x14ac:dyDescent="0.3">
      <c r="A33" s="26" t="s">
        <v>9</v>
      </c>
      <c r="B33" s="26" t="str">
        <f>VLOOKUP(A33,字段列表!$A:$G,2,0)</f>
        <v>actualMaterialReadyDate</v>
      </c>
      <c r="C33" s="30" t="s">
        <v>108</v>
      </c>
      <c r="D33" s="47" t="str">
        <f>VLOOKUP($A33,字段列表!$A:$G,3,0)</f>
        <v>Date</v>
      </c>
      <c r="E33" s="47" t="str">
        <f>VLOOKUP($A33,字段列表!$A:$G,5,0)</f>
        <v>Y</v>
      </c>
      <c r="F33" s="47" t="str">
        <f>VLOOKUP($A33,字段列表!$A:$G,6,0)</f>
        <v>Y</v>
      </c>
      <c r="G33" s="47" t="str">
        <f>VLOOKUP($A33,字段列表!$A:$G,7,0)</f>
        <v>DATA</v>
      </c>
      <c r="H33" s="1"/>
    </row>
    <row r="34" spans="1:10" ht="36.6" customHeight="1" x14ac:dyDescent="0.3">
      <c r="A34" s="26" t="s">
        <v>110</v>
      </c>
      <c r="B34" s="26" t="str">
        <f>VLOOKUP(A34,字段列表!$A:$G,2,0)</f>
        <v>isKitComplete</v>
      </c>
      <c r="C34" s="26" t="s">
        <v>138</v>
      </c>
      <c r="D34" s="47" t="str">
        <f>VLOOKUP($A34,字段列表!$A:$G,3,0)</f>
        <v>Boolean</v>
      </c>
      <c r="E34" s="47" t="str">
        <f>VLOOKUP($A34,字段列表!$A:$G,5,0)</f>
        <v>Y</v>
      </c>
      <c r="F34" s="47" t="str">
        <f>VLOOKUP($A34,字段列表!$A:$G,6,0)</f>
        <v>Y</v>
      </c>
      <c r="G34" s="47" t="str">
        <f>VLOOKUP($A34,字段列表!$A:$G,7,0)</f>
        <v>BOOL</v>
      </c>
      <c r="H34" s="1"/>
    </row>
    <row r="35" spans="1:10" ht="26.4" x14ac:dyDescent="0.3">
      <c r="A35" s="26" t="s">
        <v>130</v>
      </c>
      <c r="B35" s="26" t="str">
        <f>VLOOKUP(A35,字段列表!$A:$G,2,0)</f>
        <v>committedMinKitQty</v>
      </c>
      <c r="C35" s="26" t="s">
        <v>128</v>
      </c>
      <c r="D35" s="47" t="str">
        <f>VLOOKUP($A35,字段列表!$A:$G,3,0)</f>
        <v>VARCHAR</v>
      </c>
      <c r="E35" s="47" t="str">
        <f>VLOOKUP($A35,字段列表!$A:$G,5,0)</f>
        <v>-</v>
      </c>
      <c r="F35" s="47" t="str">
        <f>VLOOKUP($A35,字段列表!$A:$G,6,0)</f>
        <v>Y</v>
      </c>
      <c r="G35" s="47" t="str">
        <f>VLOOKUP($A35,字段列表!$A:$G,7,0)</f>
        <v>NUM</v>
      </c>
      <c r="H35" s="1"/>
    </row>
    <row r="36" spans="1:10" ht="26.4" x14ac:dyDescent="0.3">
      <c r="A36" s="26" t="s">
        <v>132</v>
      </c>
      <c r="B36" s="26" t="str">
        <f>VLOOKUP(A36,字段列表!$A:$G,2,0)</f>
        <v>issuedQtyKitQty</v>
      </c>
      <c r="C36" s="26" t="s">
        <v>134</v>
      </c>
      <c r="D36" s="47" t="str">
        <f>VLOOKUP($A36,字段列表!$A:$G,3,0)</f>
        <v>VARCHAR</v>
      </c>
      <c r="E36" s="47" t="str">
        <f>VLOOKUP($A36,字段列表!$A:$G,5,0)</f>
        <v>-</v>
      </c>
      <c r="F36" s="47" t="str">
        <f>VLOOKUP($A36,字段列表!$A:$G,6,0)</f>
        <v>Y</v>
      </c>
      <c r="G36" s="47" t="str">
        <f>VLOOKUP($A36,字段列表!$A:$G,7,0)</f>
        <v>NUM</v>
      </c>
      <c r="H36" s="1"/>
    </row>
    <row r="37" spans="1:10" ht="26.4" x14ac:dyDescent="0.3">
      <c r="A37" s="26" t="s">
        <v>393</v>
      </c>
      <c r="B37" s="26" t="str">
        <f>VLOOKUP(A37,字段列表!$A:$G,2,0)</f>
        <v>remainingKitQty</v>
      </c>
      <c r="C37" s="26" t="s">
        <v>137</v>
      </c>
      <c r="D37" s="47" t="str">
        <f>VLOOKUP($A37,字段列表!$A:$G,3,0)</f>
        <v>VARCHAR</v>
      </c>
      <c r="E37" s="47" t="str">
        <f>VLOOKUP($A37,字段列表!$A:$G,5,0)</f>
        <v>-</v>
      </c>
      <c r="F37" s="47" t="str">
        <f>VLOOKUP($A37,字段列表!$A:$G,6,0)</f>
        <v>Y</v>
      </c>
      <c r="G37" s="47" t="str">
        <f>VLOOKUP($A37,字段列表!$A:$G,7,0)</f>
        <v>NUM</v>
      </c>
      <c r="H37" s="1"/>
    </row>
    <row r="38" spans="1:10" ht="26.4" x14ac:dyDescent="0.3">
      <c r="A38" s="26" t="s">
        <v>394</v>
      </c>
      <c r="B38" s="26" t="str">
        <f>VLOOKUP(A38,字段列表!$A:$G,2,0)</f>
        <v>committedSumQty</v>
      </c>
      <c r="C38" s="26" t="s">
        <v>395</v>
      </c>
      <c r="D38" s="47" t="str">
        <f>VLOOKUP($A38,字段列表!$A:$G,3,0)</f>
        <v>VARCHAR</v>
      </c>
      <c r="E38" s="47" t="str">
        <f>VLOOKUP($A38,字段列表!$A:$G,5,0)</f>
        <v>-</v>
      </c>
      <c r="F38" s="47" t="str">
        <f>VLOOKUP($A38,字段列表!$A:$G,6,0)</f>
        <v>Y</v>
      </c>
      <c r="G38" s="47" t="str">
        <f>VLOOKUP($A38,字段列表!$A:$G,7,0)</f>
        <v>NUM</v>
      </c>
      <c r="H38" s="1"/>
      <c r="J38" s="25" t="s">
        <v>397</v>
      </c>
    </row>
    <row r="39" spans="1:10" ht="79.2" x14ac:dyDescent="0.3">
      <c r="A39" s="34" t="s">
        <v>152</v>
      </c>
      <c r="B39" s="26" t="str">
        <f>VLOOKUP(A39,字段列表!$A:$G,2,0)</f>
        <v>kitProgress</v>
      </c>
      <c r="C39" s="26" t="s">
        <v>652</v>
      </c>
      <c r="D39" s="47" t="str">
        <f>VLOOKUP($A39,字段列表!$A:$G,3,0)</f>
        <v>VARCHAR</v>
      </c>
      <c r="E39" s="47" t="str">
        <f>VLOOKUP($A39,字段列表!$A:$G,5,0)</f>
        <v>-</v>
      </c>
      <c r="F39" s="47" t="str">
        <f>VLOOKUP($A39,字段列表!$A:$G,6,0)</f>
        <v>-</v>
      </c>
      <c r="G39" s="47" t="str">
        <f>VLOOKUP($A39,字段列表!$A:$G,7,0)</f>
        <v>NUM</v>
      </c>
      <c r="H39" s="56" t="s">
        <v>653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zoomScale="85" zoomScaleNormal="85" workbookViewId="0">
      <selection activeCell="B1" sqref="B1:C1"/>
    </sheetView>
  </sheetViews>
  <sheetFormatPr defaultRowHeight="13.8" x14ac:dyDescent="0.25"/>
  <cols>
    <col min="2" max="2" width="26.44140625" customWidth="1"/>
    <col min="3" max="3" width="29.88671875" customWidth="1"/>
    <col min="4" max="4" width="53.6640625" customWidth="1"/>
    <col min="5" max="5" width="22.33203125" customWidth="1"/>
    <col min="6" max="8" width="8.21875" bestFit="1" customWidth="1"/>
    <col min="9" max="9" width="18.88671875" style="69" customWidth="1"/>
  </cols>
  <sheetData>
    <row r="1" spans="1:9" x14ac:dyDescent="0.25">
      <c r="A1" s="43" t="s">
        <v>444</v>
      </c>
      <c r="B1" s="38" t="s">
        <v>215</v>
      </c>
      <c r="C1" s="33" t="s">
        <v>396</v>
      </c>
      <c r="D1" s="41" t="s">
        <v>13</v>
      </c>
      <c r="E1" s="38" t="s">
        <v>58</v>
      </c>
      <c r="F1" s="38" t="s">
        <v>211</v>
      </c>
      <c r="G1" s="38" t="s">
        <v>213</v>
      </c>
      <c r="H1" s="38" t="s">
        <v>55</v>
      </c>
      <c r="I1" s="38" t="s">
        <v>16</v>
      </c>
    </row>
    <row r="2" spans="1:9" ht="15" x14ac:dyDescent="0.25">
      <c r="A2" s="91" t="s">
        <v>443</v>
      </c>
      <c r="B2" s="8" t="s">
        <v>46</v>
      </c>
      <c r="C2" s="26" t="str">
        <f>VLOOKUP(B2,字段列表!$A:$G,2,0)</f>
        <v>configCode</v>
      </c>
      <c r="D2" s="26" t="s">
        <v>442</v>
      </c>
      <c r="E2" s="47" t="str">
        <f>VLOOKUP($B2,字段列表!$A:$G,3,0)</f>
        <v>VARCHAR</v>
      </c>
      <c r="F2" s="47" t="s">
        <v>437</v>
      </c>
      <c r="G2" s="47" t="s">
        <v>437</v>
      </c>
      <c r="H2" s="47" t="s">
        <v>437</v>
      </c>
      <c r="I2" s="2"/>
    </row>
    <row r="3" spans="1:9" ht="15" x14ac:dyDescent="0.25">
      <c r="A3" s="91"/>
      <c r="B3" s="8" t="s">
        <v>448</v>
      </c>
      <c r="C3" s="26" t="str">
        <f>VLOOKUP(B3,字段列表!$A:$G,2,0)</f>
        <v>orgName</v>
      </c>
      <c r="D3" s="26" t="s">
        <v>442</v>
      </c>
      <c r="E3" s="47" t="str">
        <f>VLOOKUP($B3,字段列表!$A:$G,3,0)</f>
        <v>VARCHAR</v>
      </c>
      <c r="F3" s="47" t="s">
        <v>437</v>
      </c>
      <c r="G3" s="47" t="s">
        <v>437</v>
      </c>
      <c r="H3" s="47" t="s">
        <v>437</v>
      </c>
      <c r="I3" s="2"/>
    </row>
    <row r="4" spans="1:9" ht="15" x14ac:dyDescent="0.25">
      <c r="A4" s="91"/>
      <c r="B4" s="8" t="s">
        <v>23</v>
      </c>
      <c r="C4" s="26" t="str">
        <f>VLOOKUP(B4,字段列表!$A:$G,2,0)</f>
        <v>materialCode</v>
      </c>
      <c r="D4" s="26" t="s">
        <v>442</v>
      </c>
      <c r="E4" s="47" t="str">
        <f>VLOOKUP($B4,字段列表!$A:$G,3,0)</f>
        <v>VARCHAR</v>
      </c>
      <c r="F4" s="47" t="s">
        <v>437</v>
      </c>
      <c r="G4" s="47" t="s">
        <v>437</v>
      </c>
      <c r="H4" s="47" t="s">
        <v>437</v>
      </c>
      <c r="I4" s="2"/>
    </row>
    <row r="5" spans="1:9" ht="15" x14ac:dyDescent="0.25">
      <c r="A5" s="91"/>
      <c r="B5" s="8" t="s">
        <v>28</v>
      </c>
      <c r="C5" s="26" t="str">
        <f>VLOOKUP(B5,字段列表!$A:$G,2,0)</f>
        <v>orderQty</v>
      </c>
      <c r="D5" s="26" t="s">
        <v>442</v>
      </c>
      <c r="E5" s="47" t="str">
        <f>VLOOKUP($B5,字段列表!$A:$G,3,0)</f>
        <v>VARCHAR</v>
      </c>
      <c r="F5" s="47" t="s">
        <v>437</v>
      </c>
      <c r="G5" s="47" t="s">
        <v>437</v>
      </c>
      <c r="H5" s="47" t="s">
        <v>437</v>
      </c>
      <c r="I5" s="2"/>
    </row>
    <row r="6" spans="1:9" ht="15" x14ac:dyDescent="0.25">
      <c r="A6" s="91"/>
      <c r="B6" s="8" t="s">
        <v>29</v>
      </c>
      <c r="C6" s="26" t="str">
        <f>VLOOKUP(B6,字段列表!$A:$G,2,0)</f>
        <v>requiredCompletionDate</v>
      </c>
      <c r="D6" s="26" t="s">
        <v>442</v>
      </c>
      <c r="E6" s="47" t="str">
        <f>VLOOKUP($B6,字段列表!$A:$G,3,0)</f>
        <v>Date</v>
      </c>
      <c r="F6" s="47" t="s">
        <v>437</v>
      </c>
      <c r="G6" s="47" t="s">
        <v>437</v>
      </c>
      <c r="H6" s="47" t="s">
        <v>437</v>
      </c>
      <c r="I6" s="2"/>
    </row>
    <row r="7" spans="1:9" ht="26.4" x14ac:dyDescent="0.25">
      <c r="A7" s="91"/>
      <c r="B7" s="8" t="s">
        <v>0</v>
      </c>
      <c r="C7" s="26" t="str">
        <f>VLOOKUP(B7,字段列表!$A:$G,2,0)</f>
        <v>workOrderNo</v>
      </c>
      <c r="D7" s="26" t="s">
        <v>593</v>
      </c>
      <c r="E7" s="47" t="str">
        <f>VLOOKUP($B7,字段列表!$A:$G,3,0)</f>
        <v>VARCHAR</v>
      </c>
      <c r="F7" s="47" t="s">
        <v>437</v>
      </c>
      <c r="G7" s="47" t="s">
        <v>437</v>
      </c>
      <c r="H7" s="47" t="s">
        <v>437</v>
      </c>
      <c r="I7" s="2"/>
    </row>
    <row r="8" spans="1:9" ht="15" x14ac:dyDescent="0.25">
      <c r="A8" s="91"/>
      <c r="B8" s="8" t="s">
        <v>49</v>
      </c>
      <c r="C8" s="26" t="str">
        <f>VLOOKUP(B8,字段列表!$A:$G,2,0)</f>
        <v>workOrderPriority</v>
      </c>
      <c r="D8" s="26" t="s">
        <v>442</v>
      </c>
      <c r="E8" s="47" t="str">
        <f>VLOOKUP($B8,字段列表!$A:$G,3,0)</f>
        <v>INT</v>
      </c>
      <c r="F8" s="47" t="s">
        <v>437</v>
      </c>
      <c r="G8" s="47" t="s">
        <v>437</v>
      </c>
      <c r="H8" s="47" t="s">
        <v>437</v>
      </c>
      <c r="I8" s="2"/>
    </row>
    <row r="9" spans="1:9" ht="15" x14ac:dyDescent="0.25">
      <c r="A9" s="91"/>
      <c r="B9" s="8" t="s">
        <v>31</v>
      </c>
      <c r="C9" s="26" t="str">
        <f>VLOOKUP(B9,字段列表!$A:$G,2,0)</f>
        <v>transferBy</v>
      </c>
      <c r="D9" s="26" t="s">
        <v>442</v>
      </c>
      <c r="E9" s="47" t="str">
        <f>VLOOKUP($B9,字段列表!$A:$G,3,0)</f>
        <v>VARCHAR</v>
      </c>
      <c r="F9" s="47" t="s">
        <v>437</v>
      </c>
      <c r="G9" s="47" t="s">
        <v>437</v>
      </c>
      <c r="H9" s="47" t="s">
        <v>437</v>
      </c>
      <c r="I9" s="2"/>
    </row>
    <row r="10" spans="1:9" ht="26.4" x14ac:dyDescent="0.25">
      <c r="A10" s="91"/>
      <c r="B10" s="8" t="s">
        <v>180</v>
      </c>
      <c r="C10" s="26" t="str">
        <f>VLOOKUP(B10,字段列表!$A:$G,2,0)</f>
        <v>isKitComplete</v>
      </c>
      <c r="D10" s="26" t="s">
        <v>441</v>
      </c>
      <c r="E10" s="47" t="str">
        <f>VLOOKUP($B10,字段列表!$A:$G,3,0)</f>
        <v>Boolean</v>
      </c>
      <c r="F10" s="47" t="s">
        <v>437</v>
      </c>
      <c r="G10" s="47" t="s">
        <v>437</v>
      </c>
      <c r="H10" s="47" t="s">
        <v>437</v>
      </c>
      <c r="I10" s="2" t="s">
        <v>435</v>
      </c>
    </row>
    <row r="11" spans="1:9" ht="75" x14ac:dyDescent="0.25">
      <c r="A11" s="91" t="s">
        <v>439</v>
      </c>
      <c r="B11" s="8" t="s">
        <v>1</v>
      </c>
      <c r="C11" s="26" t="str">
        <f>VLOOKUP(B11,字段列表!$A:$G,2,0)</f>
        <v>componentMaterialCode</v>
      </c>
      <c r="D11" s="26" t="s">
        <v>597</v>
      </c>
      <c r="E11" s="47" t="str">
        <f>VLOOKUP($B11,字段列表!$A:$G,3,0)</f>
        <v>VARCHAR</v>
      </c>
      <c r="F11" s="47" t="s">
        <v>437</v>
      </c>
      <c r="G11" s="47" t="s">
        <v>437</v>
      </c>
      <c r="H11" s="47" t="s">
        <v>437</v>
      </c>
      <c r="I11" s="2" t="s">
        <v>598</v>
      </c>
    </row>
    <row r="12" spans="1:9" ht="15" x14ac:dyDescent="0.25">
      <c r="A12" s="91"/>
      <c r="B12" s="8" t="s">
        <v>2</v>
      </c>
      <c r="C12" s="26" t="str">
        <f>VLOOKUP(B12,字段列表!$A:$G,2,0)</f>
        <v>componentMaterialDesc</v>
      </c>
      <c r="D12" s="26" t="s">
        <v>573</v>
      </c>
      <c r="E12" s="47" t="str">
        <f>VLOOKUP($B12,字段列表!$A:$G,3,0)</f>
        <v>VARCHAR</v>
      </c>
      <c r="F12" s="47" t="s">
        <v>437</v>
      </c>
      <c r="G12" s="47" t="s">
        <v>437</v>
      </c>
      <c r="H12" s="47" t="s">
        <v>437</v>
      </c>
      <c r="I12" s="2"/>
    </row>
    <row r="13" spans="1:9" ht="15" x14ac:dyDescent="0.25">
      <c r="A13" s="91"/>
      <c r="B13" s="8" t="s">
        <v>10</v>
      </c>
      <c r="C13" s="26" t="str">
        <f>VLOOKUP(B13,字段列表!$A:$G,2,0)</f>
        <v>componentResponsibleParty</v>
      </c>
      <c r="D13" s="26" t="s">
        <v>573</v>
      </c>
      <c r="E13" s="47" t="str">
        <f>VLOOKUP($B13,字段列表!$A:$G,3,0)</f>
        <v>VARCHAR</v>
      </c>
      <c r="F13" s="47" t="s">
        <v>437</v>
      </c>
      <c r="G13" s="47" t="s">
        <v>437</v>
      </c>
      <c r="H13" s="47" t="s">
        <v>437</v>
      </c>
      <c r="I13" s="2"/>
    </row>
    <row r="14" spans="1:9" ht="15" x14ac:dyDescent="0.25">
      <c r="A14" s="91"/>
      <c r="B14" s="27" t="s">
        <v>403</v>
      </c>
      <c r="C14" s="26" t="str">
        <f>VLOOKUP(B14,字段列表!$A:$G,2,0)</f>
        <v>isResource</v>
      </c>
      <c r="D14" s="26" t="s">
        <v>573</v>
      </c>
      <c r="E14" s="47" t="str">
        <f>VLOOKUP($B14,字段列表!$A:$G,3,0)</f>
        <v>Boolean</v>
      </c>
      <c r="F14" s="47" t="s">
        <v>437</v>
      </c>
      <c r="G14" s="47" t="s">
        <v>437</v>
      </c>
      <c r="H14" s="47" t="s">
        <v>437</v>
      </c>
      <c r="I14" s="2"/>
    </row>
    <row r="15" spans="1:9" ht="15" x14ac:dyDescent="0.25">
      <c r="A15" s="91"/>
      <c r="B15" s="8" t="s">
        <v>41</v>
      </c>
      <c r="C15" s="26" t="str">
        <f>VLOOKUP(B15,字段列表!$A:$G,2,0)</f>
        <v>unitUsage</v>
      </c>
      <c r="D15" s="26" t="s">
        <v>573</v>
      </c>
      <c r="E15" s="47" t="str">
        <f>VLOOKUP($B15,字段列表!$A:$G,3,0)</f>
        <v>VARCHAR</v>
      </c>
      <c r="F15" s="47" t="s">
        <v>437</v>
      </c>
      <c r="G15" s="47" t="s">
        <v>437</v>
      </c>
      <c r="H15" s="47" t="s">
        <v>437</v>
      </c>
      <c r="I15" s="2"/>
    </row>
    <row r="16" spans="1:9" ht="15" x14ac:dyDescent="0.25">
      <c r="A16" s="91"/>
      <c r="B16" s="8" t="s">
        <v>86</v>
      </c>
      <c r="C16" s="26" t="str">
        <f>VLOOKUP(B16,字段列表!$A:$G,2,0)</f>
        <v>isRequired</v>
      </c>
      <c r="D16" s="26" t="s">
        <v>573</v>
      </c>
      <c r="E16" s="47" t="str">
        <f>VLOOKUP($B16,字段列表!$A:$G,3,0)</f>
        <v>VARCHAR</v>
      </c>
      <c r="F16" s="47" t="s">
        <v>437</v>
      </c>
      <c r="G16" s="47" t="s">
        <v>437</v>
      </c>
      <c r="H16" s="47" t="s">
        <v>437</v>
      </c>
      <c r="I16" s="2"/>
    </row>
    <row r="17" spans="1:9" ht="15" x14ac:dyDescent="0.25">
      <c r="A17" s="91"/>
      <c r="B17" s="8" t="s">
        <v>4</v>
      </c>
      <c r="C17" s="26" t="str">
        <f>VLOOKUP(B17,字段列表!$A:$G,2,0)</f>
        <v>yieldRate</v>
      </c>
      <c r="D17" s="26" t="s">
        <v>573</v>
      </c>
      <c r="E17" s="47" t="str">
        <f>VLOOKUP($B17,字段列表!$A:$G,3,0)</f>
        <v>VARCHAR</v>
      </c>
      <c r="F17" s="47" t="s">
        <v>437</v>
      </c>
      <c r="G17" s="47" t="s">
        <v>437</v>
      </c>
      <c r="H17" s="47" t="s">
        <v>437</v>
      </c>
      <c r="I17" s="2"/>
    </row>
    <row r="18" spans="1:9" ht="15" x14ac:dyDescent="0.25">
      <c r="A18" s="91"/>
      <c r="B18" s="8" t="s">
        <v>42</v>
      </c>
      <c r="C18" s="26" t="str">
        <f>VLOOKUP(B18,字段列表!$A:$G,2,0)</f>
        <v>issuedQty</v>
      </c>
      <c r="D18" s="26" t="s">
        <v>573</v>
      </c>
      <c r="E18" s="47" t="str">
        <f>VLOOKUP($B18,字段列表!$A:$G,3,0)</f>
        <v>VARCHAR</v>
      </c>
      <c r="F18" s="47" t="s">
        <v>437</v>
      </c>
      <c r="G18" s="47" t="s">
        <v>437</v>
      </c>
      <c r="H18" s="47" t="s">
        <v>437</v>
      </c>
      <c r="I18" s="2"/>
    </row>
    <row r="19" spans="1:9" ht="15" x14ac:dyDescent="0.25">
      <c r="A19" s="91"/>
      <c r="B19" s="8" t="s">
        <v>94</v>
      </c>
      <c r="C19" s="26" t="str">
        <f>VLOOKUP(B19,字段列表!$A:$G,2,0)</f>
        <v>unIssuedQty</v>
      </c>
      <c r="D19" s="26" t="s">
        <v>573</v>
      </c>
      <c r="E19" s="47" t="str">
        <f>VLOOKUP($B19,字段列表!$A:$G,3,0)</f>
        <v>VARCHAR</v>
      </c>
      <c r="F19" s="47" t="s">
        <v>437</v>
      </c>
      <c r="G19" s="47" t="s">
        <v>437</v>
      </c>
      <c r="H19" s="47" t="s">
        <v>437</v>
      </c>
      <c r="I19" s="2"/>
    </row>
    <row r="20" spans="1:9" ht="15" x14ac:dyDescent="0.25">
      <c r="A20" s="91"/>
      <c r="B20" s="8" t="s">
        <v>84</v>
      </c>
      <c r="C20" s="26" t="str">
        <f>VLOOKUP(B20,字段列表!$A:$G,2,0)</f>
        <v>availableQty</v>
      </c>
      <c r="D20" s="26" t="s">
        <v>573</v>
      </c>
      <c r="E20" s="47" t="str">
        <f>VLOOKUP($B20,字段列表!$A:$G,3,0)</f>
        <v>VARCHAR</v>
      </c>
      <c r="F20" s="47" t="s">
        <v>437</v>
      </c>
      <c r="G20" s="47" t="s">
        <v>437</v>
      </c>
      <c r="H20" s="47" t="s">
        <v>437</v>
      </c>
      <c r="I20" s="2"/>
    </row>
    <row r="21" spans="1:9" ht="15" x14ac:dyDescent="0.25">
      <c r="A21" s="91"/>
      <c r="B21" s="8" t="s">
        <v>6</v>
      </c>
      <c r="C21" s="26" t="str">
        <f>VLOOKUP(B21,字段列表!$A:$G,2,0)</f>
        <v>onHandQty</v>
      </c>
      <c r="D21" s="26" t="s">
        <v>573</v>
      </c>
      <c r="E21" s="47" t="str">
        <f>VLOOKUP($B21,字段列表!$A:$G,3,0)</f>
        <v>VARCHAR</v>
      </c>
      <c r="F21" s="47" t="s">
        <v>437</v>
      </c>
      <c r="G21" s="47" t="s">
        <v>437</v>
      </c>
      <c r="H21" s="47" t="s">
        <v>437</v>
      </c>
      <c r="I21" s="2"/>
    </row>
    <row r="22" spans="1:9" ht="15" x14ac:dyDescent="0.25">
      <c r="A22" s="91"/>
      <c r="B22" s="8" t="s">
        <v>37</v>
      </c>
      <c r="C22" s="26" t="str">
        <f>VLOOKUP(B22,字段列表!$A:$G,2,0)</f>
        <v>issueWarehouse</v>
      </c>
      <c r="D22" s="26" t="s">
        <v>573</v>
      </c>
      <c r="E22" s="47" t="str">
        <f>VLOOKUP($B22,字段列表!$A:$G,3,0)</f>
        <v>VARCHAR</v>
      </c>
      <c r="F22" s="47" t="s">
        <v>437</v>
      </c>
      <c r="G22" s="47" t="s">
        <v>437</v>
      </c>
      <c r="H22" s="47" t="s">
        <v>437</v>
      </c>
      <c r="I22" s="2"/>
    </row>
    <row r="23" spans="1:9" ht="15" x14ac:dyDescent="0.25">
      <c r="A23" s="91"/>
      <c r="B23" s="8" t="s">
        <v>43</v>
      </c>
      <c r="C23" s="26" t="str">
        <f>VLOOKUP(B23,字段列表!$A:$G,2,0)</f>
        <v>configInventoryQty</v>
      </c>
      <c r="D23" s="26" t="s">
        <v>573</v>
      </c>
      <c r="E23" s="47" t="str">
        <f>VLOOKUP($B23,字段列表!$A:$G,3,0)</f>
        <v>VARCHAR</v>
      </c>
      <c r="F23" s="47" t="s">
        <v>437</v>
      </c>
      <c r="G23" s="47" t="s">
        <v>437</v>
      </c>
      <c r="H23" s="47" t="s">
        <v>437</v>
      </c>
      <c r="I23" s="2"/>
    </row>
    <row r="24" spans="1:9" ht="15" x14ac:dyDescent="0.25">
      <c r="A24" s="91"/>
      <c r="B24" s="8" t="s">
        <v>93</v>
      </c>
      <c r="C24" s="26" t="str">
        <f>VLOOKUP(B24,字段列表!$A:$G,2,0)</f>
        <v>woShortageQty</v>
      </c>
      <c r="D24" s="26" t="s">
        <v>573</v>
      </c>
      <c r="E24" s="47" t="str">
        <f>VLOOKUP($B24,字段列表!$A:$G,3,0)</f>
        <v>VARCHAR</v>
      </c>
      <c r="F24" s="47" t="s">
        <v>437</v>
      </c>
      <c r="G24" s="47" t="s">
        <v>437</v>
      </c>
      <c r="H24" s="47" t="s">
        <v>437</v>
      </c>
      <c r="I24" s="2"/>
    </row>
    <row r="25" spans="1:9" ht="15" x14ac:dyDescent="0.25">
      <c r="A25" s="91"/>
      <c r="B25" s="8" t="s">
        <v>95</v>
      </c>
      <c r="C25" s="26" t="str">
        <f>VLOOKUP(B25,字段列表!$A:$G,2,0)</f>
        <v>availableStockShortageQty</v>
      </c>
      <c r="D25" s="26" t="s">
        <v>573</v>
      </c>
      <c r="E25" s="47" t="str">
        <f>VLOOKUP($B25,字段列表!$A:$G,3,0)</f>
        <v>VARCHAR</v>
      </c>
      <c r="F25" s="47" t="s">
        <v>437</v>
      </c>
      <c r="G25" s="47" t="s">
        <v>437</v>
      </c>
      <c r="H25" s="47" t="s">
        <v>437</v>
      </c>
      <c r="I25" s="2"/>
    </row>
    <row r="26" spans="1:9" ht="15" x14ac:dyDescent="0.25">
      <c r="A26" s="91"/>
      <c r="B26" s="8" t="s">
        <v>7</v>
      </c>
      <c r="C26" s="26" t="str">
        <f>VLOOKUP(B26,字段列表!$A:$G,2,0)</f>
        <v>theoreticalAvailableStock</v>
      </c>
      <c r="D26" s="26" t="s">
        <v>573</v>
      </c>
      <c r="E26" s="47" t="str">
        <f>VLOOKUP($B26,字段列表!$A:$G,3,0)</f>
        <v>VARCHAR</v>
      </c>
      <c r="F26" s="47" t="s">
        <v>437</v>
      </c>
      <c r="G26" s="47" t="s">
        <v>437</v>
      </c>
      <c r="H26" s="47" t="s">
        <v>437</v>
      </c>
      <c r="I26" s="2"/>
    </row>
    <row r="27" spans="1:9" ht="15" x14ac:dyDescent="0.25">
      <c r="A27" s="91"/>
      <c r="B27" s="8" t="s">
        <v>79</v>
      </c>
      <c r="C27" s="26" t="str">
        <f>VLOOKUP(B27,字段列表!$A:$G,2,0)</f>
        <v>theoreticalAvailableStockInclPoWo</v>
      </c>
      <c r="D27" s="26" t="s">
        <v>573</v>
      </c>
      <c r="E27" s="47" t="str">
        <f>VLOOKUP($B27,字段列表!$A:$G,3,0)</f>
        <v>VARCHAR</v>
      </c>
      <c r="F27" s="47" t="s">
        <v>437</v>
      </c>
      <c r="G27" s="47" t="s">
        <v>437</v>
      </c>
      <c r="H27" s="47" t="s">
        <v>437</v>
      </c>
      <c r="I27" s="2"/>
    </row>
    <row r="28" spans="1:9" ht="15" x14ac:dyDescent="0.25">
      <c r="A28" s="91"/>
      <c r="B28" s="8" t="s">
        <v>126</v>
      </c>
      <c r="C28" s="26" t="str">
        <f>VLOOKUP(B28,字段列表!$A:$G,2,0)</f>
        <v>committedKitQty</v>
      </c>
      <c r="D28" s="26" t="s">
        <v>573</v>
      </c>
      <c r="E28" s="47" t="str">
        <f>VLOOKUP($B28,字段列表!$A:$G,3,0)</f>
        <v>VARCHAR</v>
      </c>
      <c r="F28" s="47" t="s">
        <v>437</v>
      </c>
      <c r="G28" s="47" t="s">
        <v>437</v>
      </c>
      <c r="H28" s="47" t="s">
        <v>437</v>
      </c>
      <c r="I28" s="2"/>
    </row>
    <row r="29" spans="1:9" ht="15" x14ac:dyDescent="0.25">
      <c r="A29" s="91"/>
      <c r="B29" s="8" t="s">
        <v>117</v>
      </c>
      <c r="C29" s="26" t="str">
        <f>VLOOKUP(B29,字段列表!$A:$G,2,0)</f>
        <v>issuedKitQty</v>
      </c>
      <c r="D29" s="26" t="s">
        <v>573</v>
      </c>
      <c r="E29" s="47" t="str">
        <f>VLOOKUP($B29,字段列表!$A:$G,3,0)</f>
        <v>VARCHAR</v>
      </c>
      <c r="F29" s="47" t="s">
        <v>437</v>
      </c>
      <c r="G29" s="47" t="s">
        <v>437</v>
      </c>
      <c r="H29" s="47" t="s">
        <v>437</v>
      </c>
      <c r="I29" s="2"/>
    </row>
    <row r="30" spans="1:9" ht="15" x14ac:dyDescent="0.25">
      <c r="A30" s="91"/>
      <c r="B30" s="8" t="s">
        <v>386</v>
      </c>
      <c r="C30" s="26" t="str">
        <f>VLOOKUP(B30,字段列表!$A:$G,2,0)</f>
        <v>committedSumQty</v>
      </c>
      <c r="D30" s="26" t="s">
        <v>573</v>
      </c>
      <c r="E30" s="47" t="str">
        <f>VLOOKUP($B30,字段列表!$A:$G,3,0)</f>
        <v>VARCHAR</v>
      </c>
      <c r="F30" s="47" t="s">
        <v>437</v>
      </c>
      <c r="G30" s="47" t="s">
        <v>437</v>
      </c>
      <c r="H30" s="47" t="s">
        <v>437</v>
      </c>
      <c r="I30" s="2"/>
    </row>
    <row r="31" spans="1:9" ht="15" x14ac:dyDescent="0.25">
      <c r="A31" s="91"/>
      <c r="B31" s="8" t="s">
        <v>136</v>
      </c>
      <c r="C31" s="26" t="str">
        <f>VLOOKUP(B31,字段列表!$A:$G,2,0)</f>
        <v>unKitQty</v>
      </c>
      <c r="D31" s="26" t="s">
        <v>573</v>
      </c>
      <c r="E31" s="47" t="str">
        <f>VLOOKUP($B31,字段列表!$A:$G,3,0)</f>
        <v>VARCHAR</v>
      </c>
      <c r="F31" s="47" t="s">
        <v>437</v>
      </c>
      <c r="G31" s="47" t="s">
        <v>437</v>
      </c>
      <c r="H31" s="47" t="s">
        <v>437</v>
      </c>
      <c r="I31" s="2"/>
    </row>
    <row r="32" spans="1:9" ht="15" x14ac:dyDescent="0.25">
      <c r="A32" s="91"/>
      <c r="B32" s="8" t="s">
        <v>8</v>
      </c>
      <c r="C32" s="26" t="str">
        <f>VLOOKUP(B32,字段列表!$A:$G,2,0)</f>
        <v>estimatedMaterialReadyDate</v>
      </c>
      <c r="D32" s="26" t="s">
        <v>573</v>
      </c>
      <c r="E32" s="47" t="str">
        <f>VLOOKUP($B32,字段列表!$A:$G,3,0)</f>
        <v>Date</v>
      </c>
      <c r="F32" s="47" t="s">
        <v>437</v>
      </c>
      <c r="G32" s="47" t="s">
        <v>437</v>
      </c>
      <c r="H32" s="47" t="s">
        <v>437</v>
      </c>
      <c r="I32" s="2"/>
    </row>
    <row r="33" spans="1:9" ht="15" x14ac:dyDescent="0.25">
      <c r="A33" s="91"/>
      <c r="B33" s="8" t="s">
        <v>9</v>
      </c>
      <c r="C33" s="26" t="str">
        <f>VLOOKUP(B33,字段列表!$A:$G,2,0)</f>
        <v>actualMaterialReadyDate</v>
      </c>
      <c r="D33" s="26" t="s">
        <v>573</v>
      </c>
      <c r="E33" s="47" t="str">
        <f>VLOOKUP($B33,字段列表!$A:$G,3,0)</f>
        <v>Date</v>
      </c>
      <c r="F33" s="47" t="s">
        <v>437</v>
      </c>
      <c r="G33" s="47" t="s">
        <v>437</v>
      </c>
      <c r="H33" s="47" t="s">
        <v>437</v>
      </c>
      <c r="I33" s="2"/>
    </row>
    <row r="34" spans="1:9" ht="15" x14ac:dyDescent="0.25">
      <c r="A34" s="91"/>
      <c r="B34" s="8" t="s">
        <v>101</v>
      </c>
      <c r="C34" s="26" t="str">
        <f>VLOOKUP(B34,字段列表!$A:$G,2,0)</f>
        <v>hasAlternativeMaterial</v>
      </c>
      <c r="D34" s="26" t="s">
        <v>573</v>
      </c>
      <c r="E34" s="47" t="str">
        <f>VLOOKUP($B34,字段列表!$A:$G,3,0)</f>
        <v>Boolean</v>
      </c>
      <c r="F34" s="47" t="s">
        <v>437</v>
      </c>
      <c r="G34" s="47" t="s">
        <v>437</v>
      </c>
      <c r="H34" s="47" t="s">
        <v>437</v>
      </c>
      <c r="I34" s="2"/>
    </row>
    <row r="35" spans="1:9" ht="60" x14ac:dyDescent="0.25">
      <c r="A35" s="91"/>
      <c r="B35" s="8" t="s">
        <v>11</v>
      </c>
      <c r="C35" s="26" t="str">
        <f>VLOOKUP(B35,字段列表!$A:$G,2,0)</f>
        <v>alternativeMaterialStock</v>
      </c>
      <c r="D35" s="84" t="s">
        <v>641</v>
      </c>
      <c r="E35" s="47" t="str">
        <f>VLOOKUP($B35,字段列表!$A:$G,3,0)</f>
        <v>_</v>
      </c>
      <c r="F35" s="47" t="s">
        <v>437</v>
      </c>
      <c r="G35" s="47" t="s">
        <v>437</v>
      </c>
      <c r="H35" s="47" t="s">
        <v>437</v>
      </c>
      <c r="I35" s="85" t="s">
        <v>642</v>
      </c>
    </row>
    <row r="36" spans="1:9" ht="45" x14ac:dyDescent="0.25">
      <c r="A36" s="91"/>
      <c r="B36" s="8" t="s">
        <v>81</v>
      </c>
      <c r="C36" s="26" t="str">
        <f>VLOOKUP(B36,字段列表!$A:$G,2,0)</f>
        <v>supplyDetails</v>
      </c>
      <c r="D36" s="26" t="s">
        <v>574</v>
      </c>
      <c r="E36" s="47" t="str">
        <f>VLOOKUP($B36,字段列表!$A:$G,3,0)</f>
        <v>_</v>
      </c>
      <c r="F36" s="47" t="s">
        <v>437</v>
      </c>
      <c r="G36" s="47" t="s">
        <v>437</v>
      </c>
      <c r="H36" s="47" t="s">
        <v>437</v>
      </c>
      <c r="I36" s="2" t="s">
        <v>575</v>
      </c>
    </row>
    <row r="37" spans="1:9" ht="39.6" x14ac:dyDescent="0.25">
      <c r="A37" s="91"/>
      <c r="B37" s="8" t="s">
        <v>180</v>
      </c>
      <c r="C37" s="26" t="str">
        <f>VLOOKUP(B37,字段列表!$A:$G,2,0)</f>
        <v>isKitComplete</v>
      </c>
      <c r="D37" s="26" t="s">
        <v>440</v>
      </c>
      <c r="E37" s="47" t="str">
        <f>VLOOKUP($B37,字段列表!$A:$G,3,0)</f>
        <v>Boolean</v>
      </c>
      <c r="F37" s="47" t="s">
        <v>437</v>
      </c>
      <c r="G37" s="47" t="s">
        <v>437</v>
      </c>
      <c r="H37" s="47" t="s">
        <v>437</v>
      </c>
      <c r="I37" s="2" t="s">
        <v>436</v>
      </c>
    </row>
  </sheetData>
  <mergeCells count="2">
    <mergeCell ref="A2:A10"/>
    <mergeCell ref="A11:A37"/>
  </mergeCells>
  <phoneticPr fontId="3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sqref="A1:B1"/>
    </sheetView>
  </sheetViews>
  <sheetFormatPr defaultColWidth="19.33203125" defaultRowHeight="13.2" x14ac:dyDescent="0.3"/>
  <cols>
    <col min="1" max="1" width="23.109375" style="58" customWidth="1"/>
    <col min="2" max="2" width="21.44140625" style="25" customWidth="1"/>
    <col min="3" max="3" width="75.44140625" style="25" customWidth="1"/>
    <col min="4" max="4" width="10.5546875" style="25" bestFit="1" customWidth="1"/>
    <col min="5" max="7" width="8.21875" style="25" bestFit="1" customWidth="1"/>
    <col min="8" max="8" width="9.33203125" style="25" customWidth="1"/>
    <col min="9" max="16384" width="19.33203125" style="25"/>
  </cols>
  <sheetData>
    <row r="1" spans="1:8" x14ac:dyDescent="0.3">
      <c r="A1" s="38" t="s">
        <v>215</v>
      </c>
      <c r="B1" s="33" t="s">
        <v>396</v>
      </c>
      <c r="C1" s="40" t="s">
        <v>13</v>
      </c>
      <c r="D1" s="33" t="s">
        <v>58</v>
      </c>
      <c r="E1" s="33" t="s">
        <v>211</v>
      </c>
      <c r="F1" s="33" t="s">
        <v>213</v>
      </c>
      <c r="G1" s="33" t="s">
        <v>55</v>
      </c>
      <c r="H1" s="43" t="s">
        <v>16</v>
      </c>
    </row>
    <row r="2" spans="1:8" x14ac:dyDescent="0.3">
      <c r="A2" s="50" t="s">
        <v>12</v>
      </c>
      <c r="B2" s="26" t="str">
        <f>VLOOKUP(A2,字段列表!$A:$G,2,0)</f>
        <v>seqNo</v>
      </c>
      <c r="C2" s="26" t="s">
        <v>411</v>
      </c>
      <c r="D2" s="47" t="str">
        <f>VLOOKUP($A2,字段列表!$A:$G,3,0)</f>
        <v>VARCHAR</v>
      </c>
      <c r="E2" s="47" t="str">
        <f>VLOOKUP($A2,字段列表!$A:$G,5,0)</f>
        <v>-</v>
      </c>
      <c r="F2" s="47" t="str">
        <f>VLOOKUP($A2,字段列表!$A:$G,6,0)</f>
        <v>-</v>
      </c>
      <c r="G2" s="47" t="str">
        <f>VLOOKUP($A2,字段列表!$A:$G,7,0)</f>
        <v>-</v>
      </c>
      <c r="H2" s="57"/>
    </row>
    <row r="3" spans="1:8" x14ac:dyDescent="0.3">
      <c r="A3" s="61" t="s">
        <v>399</v>
      </c>
      <c r="B3" s="26" t="str">
        <f>VLOOKUP(A3,字段列表!$A:$G,2,0)</f>
        <v>configCode</v>
      </c>
      <c r="C3" s="26" t="s">
        <v>576</v>
      </c>
      <c r="D3" s="47" t="str">
        <f>VLOOKUP($A3,字段列表!$A:$G,3,0)</f>
        <v>VARCHAR</v>
      </c>
      <c r="E3" s="47" t="str">
        <f>VLOOKUP($A3,字段列表!$A:$G,5,0)</f>
        <v>Y</v>
      </c>
      <c r="F3" s="47" t="str">
        <f>VLOOKUP($A3,字段列表!$A:$G,6,0)</f>
        <v>Y</v>
      </c>
      <c r="G3" s="47" t="str">
        <f>VLOOKUP($A3,字段列表!$A:$G,7,0)</f>
        <v>TXT-1</v>
      </c>
      <c r="H3" s="57" t="s">
        <v>412</v>
      </c>
    </row>
    <row r="4" spans="1:8" x14ac:dyDescent="0.3">
      <c r="A4" s="61" t="s">
        <v>400</v>
      </c>
      <c r="B4" s="26" t="str">
        <f>VLOOKUP(A4,字段列表!$A:$G,2,0)</f>
        <v>configDesc</v>
      </c>
      <c r="C4" s="26" t="s">
        <v>419</v>
      </c>
      <c r="D4" s="47" t="str">
        <f>VLOOKUP($A4,字段列表!$A:$G,3,0)</f>
        <v>VARCHAR</v>
      </c>
      <c r="E4" s="47" t="str">
        <f>VLOOKUP($A4,字段列表!$A:$G,5,0)</f>
        <v>-</v>
      </c>
      <c r="F4" s="47" t="str">
        <f>VLOOKUP($A4,字段列表!$A:$G,6,0)</f>
        <v>Y</v>
      </c>
      <c r="G4" s="47" t="str">
        <f>VLOOKUP($A4,字段列表!$A:$G,7,0)</f>
        <v>TXT-2</v>
      </c>
      <c r="H4" s="57"/>
    </row>
    <row r="5" spans="1:8" ht="26.4" x14ac:dyDescent="0.3">
      <c r="A5" s="61" t="s">
        <v>401</v>
      </c>
      <c r="B5" s="26" t="str">
        <f>VLOOKUP(A5,字段列表!$A:$G,2,0)</f>
        <v>orgName</v>
      </c>
      <c r="C5" s="26" t="s">
        <v>577</v>
      </c>
      <c r="D5" s="47" t="str">
        <f>VLOOKUP($A5,字段列表!$A:$G,3,0)</f>
        <v>VARCHAR</v>
      </c>
      <c r="E5" s="47" t="str">
        <f>VLOOKUP($A5,字段列表!$A:$G,5,0)</f>
        <v>Y</v>
      </c>
      <c r="F5" s="47" t="str">
        <f>VLOOKUP($A5,字段列表!$A:$G,6,0)</f>
        <v>Y</v>
      </c>
      <c r="G5" s="47" t="str">
        <f>VLOOKUP($A5,字段列表!$A:$G,7,0)</f>
        <v>SEL-1</v>
      </c>
      <c r="H5" s="57"/>
    </row>
    <row r="6" spans="1:8" ht="26.4" x14ac:dyDescent="0.3">
      <c r="A6" s="61" t="s">
        <v>406</v>
      </c>
      <c r="B6" s="26" t="str">
        <f>VLOOKUP(A6,字段列表!$A:$G,2,0)</f>
        <v>componentMaterialCode</v>
      </c>
      <c r="C6" s="26" t="s">
        <v>578</v>
      </c>
      <c r="D6" s="47" t="str">
        <f>VLOOKUP($A6,字段列表!$A:$G,3,0)</f>
        <v>VARCHAR</v>
      </c>
      <c r="E6" s="47" t="str">
        <f>VLOOKUP($A6,字段列表!$A:$G,5,0)</f>
        <v>Y</v>
      </c>
      <c r="F6" s="47" t="str">
        <f>VLOOKUP($A6,字段列表!$A:$G,6,0)</f>
        <v>Y</v>
      </c>
      <c r="G6" s="47" t="str">
        <f>VLOOKUP($A6,字段列表!$A:$G,7,0)</f>
        <v>TXT-1</v>
      </c>
      <c r="H6" s="57"/>
    </row>
    <row r="7" spans="1:8" x14ac:dyDescent="0.3">
      <c r="A7" s="50" t="s">
        <v>2</v>
      </c>
      <c r="B7" s="26" t="str">
        <f>VLOOKUP(A7,字段列表!$A:$G,2,0)</f>
        <v>componentMaterialDesc</v>
      </c>
      <c r="C7" s="26" t="s">
        <v>433</v>
      </c>
      <c r="D7" s="47" t="str">
        <f>VLOOKUP($A7,字段列表!$A:$G,3,0)</f>
        <v>VARCHAR</v>
      </c>
      <c r="E7" s="47" t="str">
        <f>VLOOKUP($A7,字段列表!$A:$G,5,0)</f>
        <v>-</v>
      </c>
      <c r="F7" s="47" t="str">
        <f>VLOOKUP($A7,字段列表!$A:$G,6,0)</f>
        <v>Y</v>
      </c>
      <c r="G7" s="47" t="str">
        <f>VLOOKUP($A7,字段列表!$A:$G,7,0)</f>
        <v>TXT-2</v>
      </c>
      <c r="H7" s="57"/>
    </row>
    <row r="8" spans="1:8" ht="26.4" x14ac:dyDescent="0.3">
      <c r="A8" s="50" t="s">
        <v>546</v>
      </c>
      <c r="B8" s="26" t="str">
        <f>VLOOKUP(A8,字段列表!$A:$G,2,0)</f>
        <v>componentLeadTime</v>
      </c>
      <c r="C8" s="26" t="s">
        <v>579</v>
      </c>
      <c r="D8" s="47" t="str">
        <f>VLOOKUP($A8,字段列表!$A:$G,3,0)</f>
        <v>VARCHAR</v>
      </c>
      <c r="E8" s="47" t="str">
        <f>VLOOKUP($A8,字段列表!$A:$G,5,0)</f>
        <v>-</v>
      </c>
      <c r="F8" s="47" t="str">
        <f>VLOOKUP($A8,字段列表!$A:$G,6,0)</f>
        <v>Y</v>
      </c>
      <c r="G8" s="47" t="str">
        <f>VLOOKUP($A8,字段列表!$A:$G,7,0)</f>
        <v>NUM</v>
      </c>
      <c r="H8" s="57"/>
    </row>
    <row r="9" spans="1:8" ht="26.4" x14ac:dyDescent="0.3">
      <c r="A9" s="50" t="s">
        <v>47</v>
      </c>
      <c r="B9" s="26" t="str">
        <f>VLOOKUP(A9,字段列表!$A:$G,2,0)</f>
        <v>componentCategory</v>
      </c>
      <c r="C9" s="26" t="s">
        <v>580</v>
      </c>
      <c r="D9" s="47" t="str">
        <f>VLOOKUP($A9,字段列表!$A:$G,3,0)</f>
        <v>VARCHAR</v>
      </c>
      <c r="E9" s="47" t="str">
        <f>VLOOKUP($A9,字段列表!$A:$G,5,0)</f>
        <v>-</v>
      </c>
      <c r="F9" s="47" t="str">
        <f>VLOOKUP($A9,字段列表!$A:$G,6,0)</f>
        <v>Y</v>
      </c>
      <c r="G9" s="47" t="str">
        <f>VLOOKUP($A9,字段列表!$A:$G,7,0)</f>
        <v>SEL-2</v>
      </c>
      <c r="H9" s="57"/>
    </row>
    <row r="10" spans="1:8" x14ac:dyDescent="0.3">
      <c r="A10" s="50" t="s">
        <v>3</v>
      </c>
      <c r="B10" s="26" t="str">
        <f>VLOOKUP(A10,字段列表!$A:$G,2,0)</f>
        <v>componentType</v>
      </c>
      <c r="C10" s="26" t="s">
        <v>571</v>
      </c>
      <c r="D10" s="47" t="str">
        <f>VLOOKUP($A10,字段列表!$A:$G,3,0)</f>
        <v>VARCHAR</v>
      </c>
      <c r="E10" s="47" t="str">
        <f>VLOOKUP($A10,字段列表!$A:$G,5,0)</f>
        <v>-</v>
      </c>
      <c r="F10" s="47" t="str">
        <f>VLOOKUP($A10,字段列表!$A:$G,6,0)</f>
        <v>Y</v>
      </c>
      <c r="G10" s="47" t="str">
        <f>VLOOKUP($A10,字段列表!$A:$G,7,0)</f>
        <v>SEL-2</v>
      </c>
      <c r="H10" s="57"/>
    </row>
    <row r="11" spans="1:8" ht="26.4" x14ac:dyDescent="0.3">
      <c r="A11" s="61" t="s">
        <v>405</v>
      </c>
      <c r="B11" s="26" t="str">
        <f>VLOOKUP(A11,字段列表!$A:$G,2,0)</f>
        <v>componentResponsibleParty</v>
      </c>
      <c r="C11" s="26" t="s">
        <v>572</v>
      </c>
      <c r="D11" s="47" t="str">
        <f>VLOOKUP($A11,字段列表!$A:$G,3,0)</f>
        <v>VARCHAR</v>
      </c>
      <c r="E11" s="47" t="str">
        <f>VLOOKUP($A11,字段列表!$A:$G,5,0)</f>
        <v>Y</v>
      </c>
      <c r="F11" s="47" t="str">
        <f>VLOOKUP($A11,字段列表!$A:$G,6,0)</f>
        <v>Y</v>
      </c>
      <c r="G11" s="47" t="str">
        <f>VLOOKUP($A11,字段列表!$A:$G,7,0)</f>
        <v>TXT-2</v>
      </c>
      <c r="H11" s="57"/>
    </row>
    <row r="12" spans="1:8" x14ac:dyDescent="0.3">
      <c r="A12" s="61" t="s">
        <v>402</v>
      </c>
      <c r="B12" s="26" t="str">
        <f>VLOOKUP(A12,字段列表!$A:$G,2,0)</f>
        <v>productLine</v>
      </c>
      <c r="C12" s="26" t="s">
        <v>422</v>
      </c>
      <c r="D12" s="47" t="str">
        <f>VLOOKUP($A12,字段列表!$A:$G,3,0)</f>
        <v>VARCHAR</v>
      </c>
      <c r="E12" s="47" t="str">
        <f>VLOOKUP($A12,字段列表!$A:$G,5,0)</f>
        <v>-</v>
      </c>
      <c r="F12" s="47" t="str">
        <f>VLOOKUP($A12,字段列表!$A:$G,6,0)</f>
        <v>Y</v>
      </c>
      <c r="G12" s="47" t="str">
        <f>VLOOKUP($A12,字段列表!$A:$G,7,0)</f>
        <v>SEL-2</v>
      </c>
      <c r="H12" s="57"/>
    </row>
    <row r="13" spans="1:8" s="29" customFormat="1" ht="26.4" x14ac:dyDescent="0.25">
      <c r="A13" s="66" t="s">
        <v>403</v>
      </c>
      <c r="B13" s="67" t="str">
        <f>VLOOKUP(A13,字段列表!$A:$G,2,0)</f>
        <v>isResource</v>
      </c>
      <c r="C13" s="67" t="s">
        <v>420</v>
      </c>
      <c r="D13" s="66" t="str">
        <f>VLOOKUP($A13,字段列表!$A:$G,3,0)</f>
        <v>Boolean</v>
      </c>
      <c r="E13" s="66" t="str">
        <f>VLOOKUP($A13,字段列表!$A:$G,5,0)</f>
        <v>-</v>
      </c>
      <c r="F13" s="66" t="str">
        <f>VLOOKUP($A13,字段列表!$A:$G,6,0)</f>
        <v>Y</v>
      </c>
      <c r="G13" s="66" t="str">
        <f>VLOOKUP($A13,字段列表!$A:$G,7,0)</f>
        <v>SEL-1</v>
      </c>
      <c r="H13" s="68" t="s">
        <v>408</v>
      </c>
    </row>
    <row r="14" spans="1:8" ht="26.4" x14ac:dyDescent="0.3">
      <c r="A14" s="59" t="s">
        <v>7</v>
      </c>
      <c r="B14" s="26" t="str">
        <f>VLOOKUP(A14,字段列表!$A:$G,2,0)</f>
        <v>theoreticalAvailableStock</v>
      </c>
      <c r="C14" s="26" t="s">
        <v>581</v>
      </c>
      <c r="D14" s="47" t="str">
        <f>VLOOKUP($A14,字段列表!$A:$G,3,0)</f>
        <v>VARCHAR</v>
      </c>
      <c r="E14" s="47" t="str">
        <f>VLOOKUP($A14,字段列表!$A:$G,5,0)</f>
        <v>-</v>
      </c>
      <c r="F14" s="47" t="str">
        <f>VLOOKUP($A14,字段列表!$A:$G,6,0)</f>
        <v>Y</v>
      </c>
      <c r="G14" s="47" t="str">
        <f>VLOOKUP($A14,字段列表!$A:$G,7,0)</f>
        <v>NUM</v>
      </c>
      <c r="H14" s="57"/>
    </row>
    <row r="15" spans="1:8" ht="26.4" x14ac:dyDescent="0.3">
      <c r="A15" s="59" t="s">
        <v>407</v>
      </c>
      <c r="B15" s="26" t="str">
        <f>VLOOKUP(A15,字段列表!$A:$G,2,0)</f>
        <v>theoreticalAvailableStockInclPoWo</v>
      </c>
      <c r="C15" s="26" t="s">
        <v>582</v>
      </c>
      <c r="D15" s="47" t="str">
        <f>VLOOKUP($A15,字段列表!$A:$G,3,0)</f>
        <v>VARCHAR</v>
      </c>
      <c r="E15" s="47" t="str">
        <f>VLOOKUP($A15,字段列表!$A:$G,5,0)</f>
        <v>-</v>
      </c>
      <c r="F15" s="47" t="str">
        <f>VLOOKUP($A15,字段列表!$A:$G,6,0)</f>
        <v>Y</v>
      </c>
      <c r="G15" s="47" t="str">
        <f>VLOOKUP($A15,字段列表!$A:$G,7,0)</f>
        <v>NUM</v>
      </c>
      <c r="H15" s="57"/>
    </row>
    <row r="16" spans="1:8" ht="26.4" x14ac:dyDescent="0.3">
      <c r="A16" s="59" t="s">
        <v>319</v>
      </c>
      <c r="B16" s="26" t="str">
        <f>VLOOKUP(A16,字段列表!$A:$G,2,0)</f>
        <v>availableStockShortageQty</v>
      </c>
      <c r="C16" s="26" t="s">
        <v>583</v>
      </c>
      <c r="D16" s="47" t="str">
        <f>VLOOKUP($A16,字段列表!$A:$G,3,0)</f>
        <v>VARCHAR</v>
      </c>
      <c r="E16" s="47" t="str">
        <f>VLOOKUP($A16,字段列表!$A:$G,5,0)</f>
        <v>-</v>
      </c>
      <c r="F16" s="47" t="str">
        <f>VLOOKUP($A16,字段列表!$A:$G,6,0)</f>
        <v>Y</v>
      </c>
      <c r="G16" s="47" t="str">
        <f>VLOOKUP($A16,字段列表!$A:$G,7,0)</f>
        <v>NUM</v>
      </c>
      <c r="H16" s="57"/>
    </row>
    <row r="17" spans="1:8" ht="26.4" x14ac:dyDescent="0.3">
      <c r="A17" s="59" t="s">
        <v>112</v>
      </c>
      <c r="B17" s="26" t="str">
        <f>VLOOKUP(A17,字段列表!$A:$G,2,0)</f>
        <v>unIssuedQty</v>
      </c>
      <c r="C17" s="26" t="s">
        <v>434</v>
      </c>
      <c r="D17" s="47" t="str">
        <f>VLOOKUP($A17,字段列表!$A:$G,3,0)</f>
        <v>VARCHAR</v>
      </c>
      <c r="E17" s="47" t="str">
        <f>VLOOKUP($A17,字段列表!$A:$G,5,0)</f>
        <v>-</v>
      </c>
      <c r="F17" s="47" t="str">
        <f>VLOOKUP($A17,字段列表!$A:$G,6,0)</f>
        <v>Y</v>
      </c>
      <c r="G17" s="47" t="str">
        <f>VLOOKUP($A17,字段列表!$A:$G,7,0)</f>
        <v>NUM</v>
      </c>
      <c r="H17" s="57"/>
    </row>
    <row r="18" spans="1:8" ht="184.8" x14ac:dyDescent="0.3">
      <c r="A18" s="61" t="s">
        <v>427</v>
      </c>
      <c r="B18" s="26" t="str">
        <f>VLOOKUP(A18,字段列表!$A:$G,2,0)</f>
        <v>CommittedQty</v>
      </c>
      <c r="C18" s="26" t="s">
        <v>584</v>
      </c>
      <c r="D18" s="47" t="str">
        <f>VLOOKUP($A18,字段列表!$A:$G,3,0)</f>
        <v>VARCHAR</v>
      </c>
      <c r="E18" s="47" t="str">
        <f>VLOOKUP($A18,字段列表!$A:$G,5,0)</f>
        <v>-</v>
      </c>
      <c r="F18" s="47" t="str">
        <f>VLOOKUP($A18,字段列表!$A:$G,6,0)</f>
        <v>Y</v>
      </c>
      <c r="G18" s="47" t="str">
        <f>VLOOKUP($A18,字段列表!$A:$G,7,0)</f>
        <v>NUM</v>
      </c>
      <c r="H18" s="57"/>
    </row>
    <row r="19" spans="1:8" ht="26.4" x14ac:dyDescent="0.3">
      <c r="A19" s="61" t="s">
        <v>404</v>
      </c>
      <c r="B19" s="26" t="str">
        <f>VLOOKUP(A19,字段列表!$A:$G,2,0)</f>
        <v>onHandQty</v>
      </c>
      <c r="C19" s="26" t="s">
        <v>585</v>
      </c>
      <c r="D19" s="47" t="str">
        <f>VLOOKUP($A19,字段列表!$A:$G,3,0)</f>
        <v>VARCHAR</v>
      </c>
      <c r="E19" s="47" t="str">
        <f>VLOOKUP($A19,字段列表!$A:$G,5,0)</f>
        <v>-</v>
      </c>
      <c r="F19" s="47" t="str">
        <f>VLOOKUP($A19,字段列表!$A:$G,6,0)</f>
        <v>Y</v>
      </c>
      <c r="G19" s="47" t="str">
        <f>VLOOKUP($A19,字段列表!$A:$G,7,0)</f>
        <v>NUM</v>
      </c>
      <c r="H19" s="57"/>
    </row>
    <row r="20" spans="1:8" ht="26.4" x14ac:dyDescent="0.3">
      <c r="A20" s="59" t="s">
        <v>312</v>
      </c>
      <c r="B20" s="26" t="str">
        <f>VLOOKUP(A20,字段列表!$A:$G,2,0)</f>
        <v>configInventoryQty</v>
      </c>
      <c r="C20" s="26" t="s">
        <v>569</v>
      </c>
      <c r="D20" s="47" t="str">
        <f>VLOOKUP($A20,字段列表!$A:$G,3,0)</f>
        <v>VARCHAR</v>
      </c>
      <c r="E20" s="47" t="str">
        <f>VLOOKUP($A20,字段列表!$A:$G,5,0)</f>
        <v>-</v>
      </c>
      <c r="F20" s="47" t="str">
        <f>VLOOKUP($A20,字段列表!$A:$G,6,0)</f>
        <v>Y</v>
      </c>
      <c r="G20" s="47" t="str">
        <f>VLOOKUP($A20,字段列表!$A:$G,7,0)</f>
        <v>NUM</v>
      </c>
      <c r="H20" s="57"/>
    </row>
    <row r="21" spans="1:8" ht="26.4" x14ac:dyDescent="0.3">
      <c r="A21" s="59" t="s">
        <v>6</v>
      </c>
      <c r="B21" s="26" t="str">
        <f>VLOOKUP(A21,字段列表!$A:$G,2,0)</f>
        <v>onHandQty</v>
      </c>
      <c r="C21" s="26" t="s">
        <v>570</v>
      </c>
      <c r="D21" s="47" t="str">
        <f>VLOOKUP($A21,字段列表!$A:$G,3,0)</f>
        <v>VARCHAR</v>
      </c>
      <c r="E21" s="47" t="str">
        <f>VLOOKUP($A21,字段列表!$A:$G,5,0)</f>
        <v>-</v>
      </c>
      <c r="F21" s="47" t="str">
        <f>VLOOKUP($A21,字段列表!$A:$G,6,0)</f>
        <v>Y</v>
      </c>
      <c r="G21" s="47" t="str">
        <f>VLOOKUP($A21,字段列表!$A:$G,7,0)</f>
        <v>NUM</v>
      </c>
      <c r="H21" s="57"/>
    </row>
    <row r="22" spans="1:8" ht="26.4" x14ac:dyDescent="0.3">
      <c r="A22" s="50" t="s">
        <v>516</v>
      </c>
      <c r="B22" s="26" t="e">
        <f>VLOOKUP(A22,字段列表!$A:$G,2,0)</f>
        <v>#N/A</v>
      </c>
      <c r="C22" s="26" t="s">
        <v>654</v>
      </c>
      <c r="D22" s="47" t="e">
        <f>VLOOKUP($A22,字段列表!$A:$G,3,0)</f>
        <v>#N/A</v>
      </c>
      <c r="E22" s="47" t="e">
        <f>VLOOKUP($A22,字段列表!$A:$G,5,0)</f>
        <v>#N/A</v>
      </c>
      <c r="F22" s="47" t="e">
        <f>VLOOKUP($A22,字段列表!$A:$G,6,0)</f>
        <v>#N/A</v>
      </c>
      <c r="G22" s="47" t="e">
        <f>VLOOKUP($A22,字段列表!$A:$G,7,0)</f>
        <v>#N/A</v>
      </c>
      <c r="H22" s="57" t="s">
        <v>655</v>
      </c>
    </row>
    <row r="23" spans="1:8" ht="57.6" customHeight="1" x14ac:dyDescent="0.3">
      <c r="A23" s="59" t="s">
        <v>503</v>
      </c>
      <c r="B23" s="26" t="str">
        <f>VLOOKUP(A23,字段列表!$A:$G,2,0)</f>
        <v>supplyDetails</v>
      </c>
      <c r="C23" s="26" t="s">
        <v>751</v>
      </c>
      <c r="D23" s="47" t="str">
        <f>VLOOKUP($A23,字段列表!$A:$G,3,0)</f>
        <v>_</v>
      </c>
      <c r="E23" s="47" t="str">
        <f>VLOOKUP($A23,字段列表!$A:$G,5,0)</f>
        <v>-</v>
      </c>
      <c r="F23" s="47" t="str">
        <f>VLOOKUP($A23,字段列表!$A:$G,6,0)</f>
        <v>-</v>
      </c>
      <c r="G23" s="47" t="str">
        <f>VLOOKUP($A23,字段列表!$A:$G,7,0)</f>
        <v>-</v>
      </c>
      <c r="H23" s="57" t="s">
        <v>753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Normal="100" workbookViewId="0">
      <selection activeCell="B1" sqref="B1:C1"/>
    </sheetView>
  </sheetViews>
  <sheetFormatPr defaultRowHeight="13.8" x14ac:dyDescent="0.25"/>
  <cols>
    <col min="1" max="1" width="8.88671875" style="72"/>
    <col min="2" max="2" width="23.33203125" customWidth="1"/>
    <col min="3" max="3" width="29.88671875" customWidth="1"/>
    <col min="4" max="4" width="53.6640625" customWidth="1"/>
    <col min="5" max="5" width="22.33203125" customWidth="1"/>
    <col min="6" max="8" width="8.21875" bestFit="1" customWidth="1"/>
    <col min="9" max="9" width="18.88671875" customWidth="1"/>
  </cols>
  <sheetData>
    <row r="1" spans="1:9" x14ac:dyDescent="0.25">
      <c r="A1" s="43" t="s">
        <v>444</v>
      </c>
      <c r="B1" s="38" t="s">
        <v>215</v>
      </c>
      <c r="C1" s="33" t="s">
        <v>396</v>
      </c>
      <c r="D1" s="41" t="s">
        <v>13</v>
      </c>
      <c r="E1" s="38" t="s">
        <v>58</v>
      </c>
      <c r="F1" s="38" t="s">
        <v>211</v>
      </c>
      <c r="G1" s="38" t="s">
        <v>213</v>
      </c>
      <c r="H1" s="38" t="s">
        <v>55</v>
      </c>
      <c r="I1" s="38" t="s">
        <v>16</v>
      </c>
    </row>
    <row r="2" spans="1:9" ht="15" x14ac:dyDescent="0.25">
      <c r="A2" s="91" t="s">
        <v>443</v>
      </c>
      <c r="B2" s="8" t="s">
        <v>46</v>
      </c>
      <c r="C2" s="26" t="str">
        <f>VLOOKUP(B2,字段列表!$A:$G,2,0)</f>
        <v>configCode</v>
      </c>
      <c r="D2" s="26" t="s">
        <v>599</v>
      </c>
      <c r="E2" s="47" t="str">
        <f>VLOOKUP($B2,字段列表!$A:$G,3,0)</f>
        <v>VARCHAR</v>
      </c>
      <c r="F2" s="47" t="s">
        <v>437</v>
      </c>
      <c r="G2" s="47" t="s">
        <v>437</v>
      </c>
      <c r="H2" s="47" t="s">
        <v>437</v>
      </c>
      <c r="I2" s="2"/>
    </row>
    <row r="3" spans="1:9" ht="15" x14ac:dyDescent="0.25">
      <c r="A3" s="91"/>
      <c r="B3" s="8" t="s">
        <v>448</v>
      </c>
      <c r="C3" s="26"/>
      <c r="D3" s="26" t="s">
        <v>599</v>
      </c>
      <c r="E3" s="47" t="str">
        <f>VLOOKUP($B3,字段列表!$A:$G,3,0)</f>
        <v>VARCHAR</v>
      </c>
      <c r="F3" s="47" t="s">
        <v>437</v>
      </c>
      <c r="G3" s="47" t="s">
        <v>437</v>
      </c>
      <c r="H3" s="47" t="s">
        <v>437</v>
      </c>
      <c r="I3" s="2"/>
    </row>
    <row r="4" spans="1:9" ht="52.8" x14ac:dyDescent="0.25">
      <c r="A4" s="91"/>
      <c r="B4" s="8" t="s">
        <v>1</v>
      </c>
      <c r="C4" s="26" t="str">
        <f>VLOOKUP(B4,字段列表!$A:$G,2,0)</f>
        <v>componentMaterialCode</v>
      </c>
      <c r="D4" s="26" t="s">
        <v>600</v>
      </c>
      <c r="E4" s="47" t="str">
        <f>VLOOKUP($B4,字段列表!$A:$G,3,0)</f>
        <v>VARCHAR</v>
      </c>
      <c r="F4" s="47" t="s">
        <v>437</v>
      </c>
      <c r="G4" s="47" t="s">
        <v>437</v>
      </c>
      <c r="H4" s="47" t="s">
        <v>437</v>
      </c>
      <c r="I4" s="26" t="s">
        <v>600</v>
      </c>
    </row>
    <row r="5" spans="1:9" ht="15" x14ac:dyDescent="0.25">
      <c r="A5" s="91"/>
      <c r="B5" s="8" t="s">
        <v>2</v>
      </c>
      <c r="C5" s="26" t="str">
        <f>VLOOKUP(B5,字段列表!$A:$G,2,0)</f>
        <v>componentMaterialDesc</v>
      </c>
      <c r="D5" s="26" t="s">
        <v>599</v>
      </c>
      <c r="E5" s="47" t="str">
        <f>VLOOKUP($B5,字段列表!$A:$G,3,0)</f>
        <v>VARCHAR</v>
      </c>
      <c r="F5" s="47" t="s">
        <v>437</v>
      </c>
      <c r="G5" s="47" t="s">
        <v>437</v>
      </c>
      <c r="H5" s="47" t="s">
        <v>437</v>
      </c>
      <c r="I5" s="2"/>
    </row>
    <row r="6" spans="1:9" ht="15" x14ac:dyDescent="0.25">
      <c r="A6" s="91"/>
      <c r="B6" s="8" t="s">
        <v>43</v>
      </c>
      <c r="C6" s="26" t="str">
        <f>VLOOKUP(B6,字段列表!$A:$G,2,0)</f>
        <v>configInventoryQty</v>
      </c>
      <c r="D6" s="26" t="s">
        <v>599</v>
      </c>
      <c r="E6" s="47" t="str">
        <f>VLOOKUP($B6,字段列表!$A:$G,3,0)</f>
        <v>VARCHAR</v>
      </c>
      <c r="F6" s="47" t="s">
        <v>437</v>
      </c>
      <c r="G6" s="47" t="s">
        <v>437</v>
      </c>
      <c r="H6" s="47" t="s">
        <v>437</v>
      </c>
      <c r="I6" s="2"/>
    </row>
    <row r="7" spans="1:9" ht="15" x14ac:dyDescent="0.25">
      <c r="A7" s="91"/>
      <c r="B7" s="8" t="s">
        <v>95</v>
      </c>
      <c r="C7" s="26" t="str">
        <f>VLOOKUP(B7,字段列表!$A:$G,2,0)</f>
        <v>availableStockShortageQty</v>
      </c>
      <c r="D7" s="26" t="s">
        <v>599</v>
      </c>
      <c r="E7" s="47" t="str">
        <f>VLOOKUP($B7,字段列表!$A:$G,3,0)</f>
        <v>VARCHAR</v>
      </c>
      <c r="F7" s="47" t="s">
        <v>437</v>
      </c>
      <c r="G7" s="47" t="s">
        <v>437</v>
      </c>
      <c r="H7" s="47" t="s">
        <v>437</v>
      </c>
      <c r="I7" s="2"/>
    </row>
    <row r="8" spans="1:9" ht="15" x14ac:dyDescent="0.25">
      <c r="A8" s="91"/>
      <c r="B8" s="8" t="s">
        <v>451</v>
      </c>
      <c r="C8" s="26" t="str">
        <f>VLOOKUP(B8,字段列表!$A:$G,2,0)</f>
        <v>CommittedQty</v>
      </c>
      <c r="D8" s="26" t="s">
        <v>599</v>
      </c>
      <c r="E8" s="47" t="str">
        <f>VLOOKUP($B8,字段列表!$A:$G,3,0)</f>
        <v>VARCHAR</v>
      </c>
      <c r="F8" s="47" t="s">
        <v>437</v>
      </c>
      <c r="G8" s="47" t="s">
        <v>437</v>
      </c>
      <c r="H8" s="47" t="s">
        <v>437</v>
      </c>
      <c r="I8" s="2"/>
    </row>
    <row r="9" spans="1:9" ht="15" x14ac:dyDescent="0.25">
      <c r="A9" s="91"/>
      <c r="B9" s="8" t="s">
        <v>452</v>
      </c>
      <c r="C9" s="26" t="str">
        <f>VLOOKUP(B9,字段列表!$A:$G,2,0)</f>
        <v>unIssuedQty</v>
      </c>
      <c r="D9" s="26" t="s">
        <v>599</v>
      </c>
      <c r="E9" s="47" t="str">
        <f>VLOOKUP($B9,字段列表!$A:$G,3,0)</f>
        <v>VARCHAR</v>
      </c>
      <c r="F9" s="47" t="s">
        <v>437</v>
      </c>
      <c r="G9" s="47" t="s">
        <v>437</v>
      </c>
      <c r="H9" s="47" t="s">
        <v>437</v>
      </c>
      <c r="I9" s="2"/>
    </row>
    <row r="10" spans="1:9" ht="15" x14ac:dyDescent="0.25">
      <c r="A10" s="91"/>
      <c r="B10" s="8" t="s">
        <v>95</v>
      </c>
      <c r="C10" s="26" t="str">
        <f>VLOOKUP(B10,字段列表!$A:$G,2,0)</f>
        <v>availableStockShortageQty</v>
      </c>
      <c r="D10" s="26" t="s">
        <v>599</v>
      </c>
      <c r="E10" s="47" t="str">
        <f>VLOOKUP($B10,字段列表!$A:$G,3,0)</f>
        <v>VARCHAR</v>
      </c>
      <c r="F10" s="47" t="s">
        <v>437</v>
      </c>
      <c r="G10" s="47" t="s">
        <v>437</v>
      </c>
      <c r="H10" s="47" t="s">
        <v>437</v>
      </c>
      <c r="I10" s="2"/>
    </row>
    <row r="11" spans="1:9" ht="15" x14ac:dyDescent="0.25">
      <c r="A11" s="91"/>
      <c r="B11" s="8" t="s">
        <v>453</v>
      </c>
      <c r="C11" s="26" t="str">
        <f>VLOOKUP(B11,字段列表!$A:$G,2,0)</f>
        <v>woShortageQty</v>
      </c>
      <c r="D11" s="26" t="s">
        <v>599</v>
      </c>
      <c r="E11" s="47" t="str">
        <f>VLOOKUP($B11,字段列表!$A:$G,3,0)</f>
        <v>VARCHAR</v>
      </c>
      <c r="F11" s="47" t="s">
        <v>437</v>
      </c>
      <c r="G11" s="47" t="s">
        <v>437</v>
      </c>
      <c r="H11" s="47" t="s">
        <v>437</v>
      </c>
      <c r="I11" s="2"/>
    </row>
    <row r="12" spans="1:9" ht="15" x14ac:dyDescent="0.25">
      <c r="A12" s="91"/>
      <c r="B12" s="8" t="s">
        <v>10</v>
      </c>
      <c r="C12" s="26" t="str">
        <f>VLOOKUP(B12,字段列表!$A:$G,2,0)</f>
        <v>componentResponsibleParty</v>
      </c>
      <c r="D12" s="26" t="s">
        <v>599</v>
      </c>
      <c r="E12" s="47" t="str">
        <f>VLOOKUP($B12,字段列表!$A:$G,3,0)</f>
        <v>VARCHAR</v>
      </c>
      <c r="F12" s="47" t="s">
        <v>437</v>
      </c>
      <c r="G12" s="47" t="s">
        <v>437</v>
      </c>
      <c r="H12" s="47" t="s">
        <v>437</v>
      </c>
      <c r="I12" s="2"/>
    </row>
    <row r="13" spans="1:9" ht="15" x14ac:dyDescent="0.25">
      <c r="A13" s="91"/>
      <c r="B13" s="8" t="s">
        <v>450</v>
      </c>
      <c r="C13" s="26" t="str">
        <f>VLOOKUP(B13,字段列表!$A:$G,2,0)</f>
        <v>isResource</v>
      </c>
      <c r="D13" s="26" t="s">
        <v>599</v>
      </c>
      <c r="E13" s="47" t="str">
        <f>VLOOKUP($B13,字段列表!$A:$G,3,0)</f>
        <v>Boolean</v>
      </c>
      <c r="F13" s="47" t="s">
        <v>437</v>
      </c>
      <c r="G13" s="47" t="s">
        <v>437</v>
      </c>
      <c r="H13" s="47" t="s">
        <v>437</v>
      </c>
      <c r="I13" s="2"/>
    </row>
    <row r="14" spans="1:9" ht="15" x14ac:dyDescent="0.25">
      <c r="A14" s="91"/>
      <c r="B14" s="8" t="s">
        <v>449</v>
      </c>
      <c r="C14" s="26" t="str">
        <f>VLOOKUP(B14,字段列表!$A:$G,2,0)</f>
        <v>productLine</v>
      </c>
      <c r="D14" s="26" t="s">
        <v>599</v>
      </c>
      <c r="E14" s="47" t="str">
        <f>VLOOKUP($B14,字段列表!$A:$G,3,0)</f>
        <v>VARCHAR</v>
      </c>
      <c r="F14" s="47" t="s">
        <v>437</v>
      </c>
      <c r="G14" s="47" t="s">
        <v>437</v>
      </c>
      <c r="H14" s="47" t="s">
        <v>437</v>
      </c>
      <c r="I14" s="2"/>
    </row>
    <row r="15" spans="1:9" ht="60" x14ac:dyDescent="0.25">
      <c r="A15" s="91" t="s">
        <v>438</v>
      </c>
      <c r="B15" s="8" t="s">
        <v>0</v>
      </c>
      <c r="C15" s="26" t="str">
        <f>VLOOKUP(B15,字段列表!$A:$G,2,0)</f>
        <v>workOrderNo</v>
      </c>
      <c r="D15" s="26" t="s">
        <v>594</v>
      </c>
      <c r="E15" s="47" t="str">
        <f>VLOOKUP($B15,字段列表!$A:$G,3,0)</f>
        <v>VARCHAR</v>
      </c>
      <c r="F15" s="47" t="s">
        <v>437</v>
      </c>
      <c r="G15" s="47" t="s">
        <v>437</v>
      </c>
      <c r="H15" s="47" t="s">
        <v>437</v>
      </c>
      <c r="I15" s="2" t="s">
        <v>595</v>
      </c>
    </row>
    <row r="16" spans="1:9" ht="15" x14ac:dyDescent="0.25">
      <c r="A16" s="91"/>
      <c r="B16" s="8" t="s">
        <v>448</v>
      </c>
      <c r="C16" s="26"/>
      <c r="D16" s="26" t="s">
        <v>586</v>
      </c>
      <c r="E16" s="47" t="str">
        <f>VLOOKUP($B16,字段列表!$A:$G,3,0)</f>
        <v>VARCHAR</v>
      </c>
      <c r="F16" s="47" t="s">
        <v>437</v>
      </c>
      <c r="G16" s="47" t="s">
        <v>437</v>
      </c>
      <c r="H16" s="47" t="s">
        <v>437</v>
      </c>
      <c r="I16" s="2"/>
    </row>
    <row r="17" spans="1:9" ht="15" x14ac:dyDescent="0.25">
      <c r="A17" s="91"/>
      <c r="B17" s="8" t="s">
        <v>23</v>
      </c>
      <c r="C17" s="26" t="str">
        <f>VLOOKUP(B17,字段列表!$A:$G,2,0)</f>
        <v>materialCode</v>
      </c>
      <c r="D17" s="26" t="s">
        <v>586</v>
      </c>
      <c r="E17" s="47" t="str">
        <f>VLOOKUP($B17,字段列表!$A:$G,3,0)</f>
        <v>VARCHAR</v>
      </c>
      <c r="F17" s="47" t="s">
        <v>437</v>
      </c>
      <c r="G17" s="47" t="s">
        <v>437</v>
      </c>
      <c r="H17" s="47" t="s">
        <v>437</v>
      </c>
      <c r="I17" s="2"/>
    </row>
    <row r="18" spans="1:9" ht="15" x14ac:dyDescent="0.25">
      <c r="A18" s="91"/>
      <c r="B18" s="8" t="s">
        <v>454</v>
      </c>
      <c r="C18" s="26" t="str">
        <f>VLOOKUP(B18,字段列表!$A:$G,2,0)</f>
        <v>materialDes</v>
      </c>
      <c r="D18" s="26" t="s">
        <v>586</v>
      </c>
      <c r="E18" s="47" t="str">
        <f>VLOOKUP($B18,字段列表!$A:$G,3,0)</f>
        <v>VARCHAR</v>
      </c>
      <c r="F18" s="47" t="s">
        <v>437</v>
      </c>
      <c r="G18" s="47" t="s">
        <v>437</v>
      </c>
      <c r="H18" s="47" t="s">
        <v>437</v>
      </c>
      <c r="I18" s="2"/>
    </row>
    <row r="19" spans="1:9" ht="15" x14ac:dyDescent="0.25">
      <c r="A19" s="91"/>
      <c r="B19" s="8" t="s">
        <v>28</v>
      </c>
      <c r="C19" s="26" t="str">
        <f>VLOOKUP(B19,字段列表!$A:$G,2,0)</f>
        <v>orderQty</v>
      </c>
      <c r="D19" s="26" t="s">
        <v>586</v>
      </c>
      <c r="E19" s="47" t="str">
        <f>VLOOKUP($B19,字段列表!$A:$G,3,0)</f>
        <v>VARCHAR</v>
      </c>
      <c r="F19" s="47" t="s">
        <v>437</v>
      </c>
      <c r="G19" s="47" t="s">
        <v>437</v>
      </c>
      <c r="H19" s="47" t="s">
        <v>437</v>
      </c>
      <c r="I19" s="2"/>
    </row>
    <row r="20" spans="1:9" ht="15" x14ac:dyDescent="0.25">
      <c r="A20" s="91"/>
      <c r="B20" s="8" t="s">
        <v>29</v>
      </c>
      <c r="C20" s="26" t="str">
        <f>VLOOKUP(B20,字段列表!$A:$G,2,0)</f>
        <v>requiredCompletionDate</v>
      </c>
      <c r="D20" s="26" t="s">
        <v>586</v>
      </c>
      <c r="E20" s="47" t="str">
        <f>VLOOKUP($B20,字段列表!$A:$G,3,0)</f>
        <v>Date</v>
      </c>
      <c r="F20" s="47" t="s">
        <v>437</v>
      </c>
      <c r="G20" s="47" t="s">
        <v>437</v>
      </c>
      <c r="H20" s="47" t="s">
        <v>437</v>
      </c>
      <c r="I20" s="2"/>
    </row>
    <row r="21" spans="1:9" ht="15" x14ac:dyDescent="0.25">
      <c r="A21" s="91"/>
      <c r="B21" s="8" t="s">
        <v>49</v>
      </c>
      <c r="C21" s="26" t="str">
        <f>VLOOKUP(B21,字段列表!$A:$G,2,0)</f>
        <v>workOrderPriority</v>
      </c>
      <c r="D21" s="26" t="s">
        <v>586</v>
      </c>
      <c r="E21" s="47" t="str">
        <f>VLOOKUP($B21,字段列表!$A:$G,3,0)</f>
        <v>INT</v>
      </c>
      <c r="F21" s="47" t="s">
        <v>437</v>
      </c>
      <c r="G21" s="47" t="s">
        <v>437</v>
      </c>
      <c r="H21" s="47" t="s">
        <v>437</v>
      </c>
      <c r="I21" s="2"/>
    </row>
    <row r="22" spans="1:9" ht="15" x14ac:dyDescent="0.25">
      <c r="A22" s="91"/>
      <c r="B22" s="8" t="s">
        <v>31</v>
      </c>
      <c r="C22" s="26" t="str">
        <f>VLOOKUP(B22,字段列表!$A:$G,2,0)</f>
        <v>transferBy</v>
      </c>
      <c r="D22" s="26" t="s">
        <v>586</v>
      </c>
      <c r="E22" s="47" t="str">
        <f>VLOOKUP($B22,字段列表!$A:$G,3,0)</f>
        <v>VARCHAR</v>
      </c>
      <c r="F22" s="47" t="s">
        <v>437</v>
      </c>
      <c r="G22" s="47" t="s">
        <v>437</v>
      </c>
      <c r="H22" s="47" t="s">
        <v>437</v>
      </c>
      <c r="I22" s="2"/>
    </row>
    <row r="23" spans="1:9" ht="15" x14ac:dyDescent="0.25">
      <c r="A23" s="91"/>
      <c r="B23" s="8" t="s">
        <v>41</v>
      </c>
      <c r="C23" s="26" t="str">
        <f>VLOOKUP(B23,字段列表!$A:$G,2,0)</f>
        <v>unitUsage</v>
      </c>
      <c r="D23" s="26" t="s">
        <v>587</v>
      </c>
      <c r="E23" s="47" t="str">
        <f>VLOOKUP($B23,字段列表!$A:$G,3,0)</f>
        <v>VARCHAR</v>
      </c>
      <c r="F23" s="47" t="s">
        <v>437</v>
      </c>
      <c r="G23" s="47" t="s">
        <v>437</v>
      </c>
      <c r="H23" s="47" t="s">
        <v>437</v>
      </c>
      <c r="I23" s="2"/>
    </row>
    <row r="24" spans="1:9" ht="15" x14ac:dyDescent="0.25">
      <c r="A24" s="91"/>
      <c r="B24" s="8" t="s">
        <v>86</v>
      </c>
      <c r="C24" s="26" t="str">
        <f>VLOOKUP(B24,字段列表!$A:$G,2,0)</f>
        <v>isRequired</v>
      </c>
      <c r="D24" s="26" t="s">
        <v>587</v>
      </c>
      <c r="E24" s="47" t="str">
        <f>VLOOKUP($B24,字段列表!$A:$G,3,0)</f>
        <v>VARCHAR</v>
      </c>
      <c r="F24" s="47" t="s">
        <v>437</v>
      </c>
      <c r="G24" s="47" t="s">
        <v>437</v>
      </c>
      <c r="H24" s="47" t="s">
        <v>437</v>
      </c>
      <c r="I24" s="2"/>
    </row>
    <row r="25" spans="1:9" ht="15" x14ac:dyDescent="0.25">
      <c r="A25" s="91"/>
      <c r="B25" s="8" t="s">
        <v>4</v>
      </c>
      <c r="C25" s="26" t="str">
        <f>VLOOKUP(B25,字段列表!$A:$G,2,0)</f>
        <v>yieldRate</v>
      </c>
      <c r="D25" s="26" t="s">
        <v>587</v>
      </c>
      <c r="E25" s="47" t="str">
        <f>VLOOKUP($B25,字段列表!$A:$G,3,0)</f>
        <v>VARCHAR</v>
      </c>
      <c r="F25" s="47" t="s">
        <v>437</v>
      </c>
      <c r="G25" s="47" t="s">
        <v>437</v>
      </c>
      <c r="H25" s="47" t="s">
        <v>437</v>
      </c>
      <c r="I25" s="2"/>
    </row>
    <row r="26" spans="1:9" ht="15" x14ac:dyDescent="0.25">
      <c r="A26" s="91"/>
      <c r="B26" s="8" t="s">
        <v>42</v>
      </c>
      <c r="C26" s="26" t="str">
        <f>VLOOKUP(B26,字段列表!$A:$G,2,0)</f>
        <v>issuedQty</v>
      </c>
      <c r="D26" s="26" t="s">
        <v>587</v>
      </c>
      <c r="E26" s="47" t="str">
        <f>VLOOKUP($B26,字段列表!$A:$G,3,0)</f>
        <v>VARCHAR</v>
      </c>
      <c r="F26" s="47" t="s">
        <v>437</v>
      </c>
      <c r="G26" s="47" t="s">
        <v>437</v>
      </c>
      <c r="H26" s="47" t="s">
        <v>437</v>
      </c>
      <c r="I26" s="2"/>
    </row>
    <row r="27" spans="1:9" ht="15" x14ac:dyDescent="0.25">
      <c r="A27" s="91"/>
      <c r="B27" s="8" t="s">
        <v>94</v>
      </c>
      <c r="C27" s="26" t="str">
        <f>VLOOKUP(B27,字段列表!$A:$G,2,0)</f>
        <v>unIssuedQty</v>
      </c>
      <c r="D27" s="26" t="s">
        <v>587</v>
      </c>
      <c r="E27" s="47" t="str">
        <f>VLOOKUP($B27,字段列表!$A:$G,3,0)</f>
        <v>VARCHAR</v>
      </c>
      <c r="F27" s="47" t="s">
        <v>437</v>
      </c>
      <c r="G27" s="47" t="s">
        <v>437</v>
      </c>
      <c r="H27" s="47" t="s">
        <v>437</v>
      </c>
      <c r="I27" s="2"/>
    </row>
    <row r="28" spans="1:9" ht="15" x14ac:dyDescent="0.25">
      <c r="A28" s="91"/>
      <c r="B28" s="8" t="s">
        <v>84</v>
      </c>
      <c r="C28" s="26" t="str">
        <f>VLOOKUP(B28,字段列表!$A:$G,2,0)</f>
        <v>availableQty</v>
      </c>
      <c r="D28" s="26" t="s">
        <v>587</v>
      </c>
      <c r="E28" s="47" t="str">
        <f>VLOOKUP($B28,字段列表!$A:$G,3,0)</f>
        <v>VARCHAR</v>
      </c>
      <c r="F28" s="47" t="s">
        <v>437</v>
      </c>
      <c r="G28" s="47" t="s">
        <v>437</v>
      </c>
      <c r="H28" s="47" t="s">
        <v>437</v>
      </c>
      <c r="I28" s="2"/>
    </row>
    <row r="29" spans="1:9" ht="30" x14ac:dyDescent="0.25">
      <c r="A29" s="91"/>
      <c r="B29" s="8" t="s">
        <v>79</v>
      </c>
      <c r="C29" s="26" t="str">
        <f>VLOOKUP(B29,字段列表!$A:$G,2,0)</f>
        <v>theoreticalAvailableStockInclPoWo</v>
      </c>
      <c r="D29" s="26" t="s">
        <v>587</v>
      </c>
      <c r="E29" s="47" t="str">
        <f>VLOOKUP($B29,字段列表!$A:$G,3,0)</f>
        <v>VARCHAR</v>
      </c>
      <c r="F29" s="47" t="s">
        <v>437</v>
      </c>
      <c r="G29" s="47" t="s">
        <v>437</v>
      </c>
      <c r="H29" s="47" t="s">
        <v>437</v>
      </c>
      <c r="I29" s="2"/>
    </row>
    <row r="30" spans="1:9" ht="15" x14ac:dyDescent="0.25">
      <c r="A30" s="91"/>
      <c r="B30" s="8" t="s">
        <v>451</v>
      </c>
      <c r="C30" s="26" t="str">
        <f>VLOOKUP(B30,字段列表!$A:$G,2,0)</f>
        <v>CommittedQty</v>
      </c>
      <c r="D30" s="26" t="s">
        <v>587</v>
      </c>
      <c r="E30" s="47" t="str">
        <f>VLOOKUP($B30,字段列表!$A:$G,3,0)</f>
        <v>VARCHAR</v>
      </c>
      <c r="F30" s="47" t="s">
        <v>437</v>
      </c>
      <c r="G30" s="47" t="s">
        <v>437</v>
      </c>
      <c r="H30" s="47" t="s">
        <v>437</v>
      </c>
      <c r="I30" s="2"/>
    </row>
    <row r="31" spans="1:9" ht="15" x14ac:dyDescent="0.25">
      <c r="A31" s="91"/>
      <c r="B31" s="8" t="s">
        <v>452</v>
      </c>
      <c r="C31" s="26" t="str">
        <f>VLOOKUP(B31,字段列表!$A:$G,2,0)</f>
        <v>unIssuedQty</v>
      </c>
      <c r="D31" s="26" t="s">
        <v>587</v>
      </c>
      <c r="E31" s="47" t="str">
        <f>VLOOKUP($B31,字段列表!$A:$G,3,0)</f>
        <v>VARCHAR</v>
      </c>
      <c r="F31" s="47" t="s">
        <v>437</v>
      </c>
      <c r="G31" s="47" t="s">
        <v>437</v>
      </c>
      <c r="H31" s="47" t="s">
        <v>437</v>
      </c>
      <c r="I31" s="2"/>
    </row>
    <row r="32" spans="1:9" ht="15" x14ac:dyDescent="0.25">
      <c r="A32" s="91"/>
      <c r="B32" s="8" t="s">
        <v>95</v>
      </c>
      <c r="C32" s="26" t="str">
        <f>VLOOKUP(B32,字段列表!$A:$G,2,0)</f>
        <v>availableStockShortageQty</v>
      </c>
      <c r="D32" s="26" t="s">
        <v>587</v>
      </c>
      <c r="E32" s="47" t="str">
        <f>VLOOKUP($B32,字段列表!$A:$G,3,0)</f>
        <v>VARCHAR</v>
      </c>
      <c r="F32" s="47" t="s">
        <v>437</v>
      </c>
      <c r="G32" s="47" t="s">
        <v>437</v>
      </c>
      <c r="H32" s="47" t="s">
        <v>437</v>
      </c>
      <c r="I32" s="2"/>
    </row>
    <row r="33" spans="1:9" ht="15" x14ac:dyDescent="0.25">
      <c r="A33" s="91"/>
      <c r="B33" s="8" t="s">
        <v>453</v>
      </c>
      <c r="C33" s="26" t="str">
        <f>VLOOKUP(B33,字段列表!$A:$G,2,0)</f>
        <v>woShortageQty</v>
      </c>
      <c r="D33" s="26" t="s">
        <v>587</v>
      </c>
      <c r="E33" s="47" t="str">
        <f>VLOOKUP($B33,字段列表!$A:$G,3,0)</f>
        <v>VARCHAR</v>
      </c>
      <c r="F33" s="47" t="s">
        <v>437</v>
      </c>
      <c r="G33" s="47" t="s">
        <v>437</v>
      </c>
      <c r="H33" s="47" t="s">
        <v>437</v>
      </c>
      <c r="I33" s="2"/>
    </row>
    <row r="34" spans="1:9" ht="26.4" x14ac:dyDescent="0.25">
      <c r="A34" s="91"/>
      <c r="B34" s="8" t="s">
        <v>180</v>
      </c>
      <c r="C34" s="26" t="str">
        <f>VLOOKUP(B34,字段列表!$A:$G,2,0)</f>
        <v>isKitComplete</v>
      </c>
      <c r="D34" s="26" t="s">
        <v>441</v>
      </c>
      <c r="E34" s="47" t="str">
        <f>VLOOKUP($B34,字段列表!$A:$G,3,0)</f>
        <v>Boolean</v>
      </c>
      <c r="F34" s="47" t="s">
        <v>437</v>
      </c>
      <c r="G34" s="47" t="s">
        <v>437</v>
      </c>
      <c r="H34" s="47" t="s">
        <v>437</v>
      </c>
      <c r="I34" s="2"/>
    </row>
  </sheetData>
  <mergeCells count="2">
    <mergeCell ref="A2:A14"/>
    <mergeCell ref="A15:A34"/>
  </mergeCells>
  <phoneticPr fontId="3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I20"/>
  <sheetViews>
    <sheetView zoomScale="85" zoomScaleNormal="85" workbookViewId="0">
      <selection sqref="A1:B1"/>
    </sheetView>
  </sheetViews>
  <sheetFormatPr defaultRowHeight="15.6" x14ac:dyDescent="0.35"/>
  <cols>
    <col min="1" max="1" width="15.77734375" style="10" customWidth="1"/>
    <col min="2" max="2" width="8.88671875" style="10"/>
    <col min="3" max="3" width="100.6640625" style="10" customWidth="1"/>
    <col min="4" max="6" width="8.88671875" style="10"/>
    <col min="7" max="7" width="8.33203125" style="10" bestFit="1" customWidth="1"/>
    <col min="8" max="8" width="11.21875" style="10" customWidth="1"/>
    <col min="9" max="9" width="21.33203125" style="10" customWidth="1"/>
    <col min="10" max="16384" width="8.88671875" style="10"/>
  </cols>
  <sheetData>
    <row r="1" spans="1:9" x14ac:dyDescent="0.35">
      <c r="A1" s="38" t="s">
        <v>215</v>
      </c>
      <c r="B1" s="33" t="s">
        <v>396</v>
      </c>
      <c r="C1" s="41" t="s">
        <v>13</v>
      </c>
      <c r="D1" s="38" t="s">
        <v>58</v>
      </c>
      <c r="E1" s="38" t="s">
        <v>211</v>
      </c>
      <c r="F1" s="38" t="s">
        <v>213</v>
      </c>
      <c r="G1" s="38" t="s">
        <v>55</v>
      </c>
      <c r="H1" s="33" t="s">
        <v>178</v>
      </c>
      <c r="I1" s="38" t="s">
        <v>16</v>
      </c>
    </row>
    <row r="2" spans="1:9" x14ac:dyDescent="0.35">
      <c r="A2" s="11" t="s">
        <v>499</v>
      </c>
      <c r="B2" s="11" t="s">
        <v>491</v>
      </c>
      <c r="C2" s="87" t="s">
        <v>519</v>
      </c>
      <c r="D2" s="11" t="s">
        <v>491</v>
      </c>
      <c r="E2" s="11" t="s">
        <v>717</v>
      </c>
      <c r="F2" s="11" t="s">
        <v>717</v>
      </c>
      <c r="G2" s="11" t="s">
        <v>719</v>
      </c>
      <c r="H2" s="11" t="s">
        <v>724</v>
      </c>
      <c r="I2" s="11" t="s">
        <v>534</v>
      </c>
    </row>
    <row r="3" spans="1:9" x14ac:dyDescent="0.35">
      <c r="A3" s="11" t="s">
        <v>478</v>
      </c>
      <c r="B3" s="11" t="s">
        <v>491</v>
      </c>
      <c r="C3" s="87" t="s">
        <v>602</v>
      </c>
      <c r="D3" s="11" t="s">
        <v>491</v>
      </c>
      <c r="E3" s="11" t="s">
        <v>717</v>
      </c>
      <c r="F3" s="11" t="s">
        <v>717</v>
      </c>
      <c r="G3" s="11" t="s">
        <v>718</v>
      </c>
      <c r="H3" s="11" t="s">
        <v>724</v>
      </c>
      <c r="I3" s="11" t="s">
        <v>603</v>
      </c>
    </row>
    <row r="4" spans="1:9" x14ac:dyDescent="0.35">
      <c r="A4" s="11" t="s">
        <v>459</v>
      </c>
      <c r="B4" s="11" t="s">
        <v>491</v>
      </c>
      <c r="C4" s="87" t="s">
        <v>519</v>
      </c>
      <c r="D4" s="11" t="s">
        <v>491</v>
      </c>
      <c r="E4" s="11" t="s">
        <v>717</v>
      </c>
      <c r="F4" s="11" t="s">
        <v>717</v>
      </c>
      <c r="G4" s="11" t="s">
        <v>718</v>
      </c>
      <c r="H4" s="11" t="s">
        <v>724</v>
      </c>
      <c r="I4" s="11" t="s">
        <v>534</v>
      </c>
    </row>
    <row r="5" spans="1:9" x14ac:dyDescent="0.35">
      <c r="A5" s="11" t="s">
        <v>460</v>
      </c>
      <c r="B5" s="11" t="s">
        <v>491</v>
      </c>
      <c r="C5" s="87" t="s">
        <v>520</v>
      </c>
      <c r="D5" s="11" t="s">
        <v>491</v>
      </c>
      <c r="E5" s="11" t="s">
        <v>717</v>
      </c>
      <c r="F5" s="11" t="s">
        <v>717</v>
      </c>
      <c r="G5" s="11" t="s">
        <v>720</v>
      </c>
      <c r="H5" s="11" t="s">
        <v>724</v>
      </c>
      <c r="I5" s="11" t="s">
        <v>534</v>
      </c>
    </row>
    <row r="6" spans="1:9" x14ac:dyDescent="0.35">
      <c r="A6" s="11" t="s">
        <v>461</v>
      </c>
      <c r="B6" s="11" t="s">
        <v>491</v>
      </c>
      <c r="C6" s="87" t="s">
        <v>520</v>
      </c>
      <c r="D6" s="11" t="s">
        <v>491</v>
      </c>
      <c r="E6" s="11" t="s">
        <v>723</v>
      </c>
      <c r="F6" s="11" t="s">
        <v>717</v>
      </c>
      <c r="G6" s="11" t="s">
        <v>718</v>
      </c>
      <c r="H6" s="11" t="s">
        <v>724</v>
      </c>
      <c r="I6" s="11" t="s">
        <v>534</v>
      </c>
    </row>
    <row r="7" spans="1:9" x14ac:dyDescent="0.35">
      <c r="A7" s="11" t="s">
        <v>462</v>
      </c>
      <c r="B7" s="11" t="s">
        <v>491</v>
      </c>
      <c r="C7" s="87" t="s">
        <v>520</v>
      </c>
      <c r="D7" s="11" t="s">
        <v>491</v>
      </c>
      <c r="E7" s="11" t="s">
        <v>717</v>
      </c>
      <c r="F7" s="11" t="s">
        <v>717</v>
      </c>
      <c r="G7" s="11" t="s">
        <v>720</v>
      </c>
      <c r="H7" s="11" t="s">
        <v>724</v>
      </c>
      <c r="I7" s="11" t="s">
        <v>534</v>
      </c>
    </row>
    <row r="8" spans="1:9" x14ac:dyDescent="0.35">
      <c r="A8" s="11" t="s">
        <v>464</v>
      </c>
      <c r="B8" s="11" t="s">
        <v>491</v>
      </c>
      <c r="C8" s="87" t="s">
        <v>520</v>
      </c>
      <c r="D8" s="11" t="s">
        <v>491</v>
      </c>
      <c r="E8" s="11" t="s">
        <v>723</v>
      </c>
      <c r="F8" s="11" t="s">
        <v>717</v>
      </c>
      <c r="G8" s="11" t="s">
        <v>720</v>
      </c>
      <c r="H8" s="11" t="s">
        <v>724</v>
      </c>
      <c r="I8" s="11" t="s">
        <v>534</v>
      </c>
    </row>
    <row r="9" spans="1:9" x14ac:dyDescent="0.35">
      <c r="A9" s="11" t="s">
        <v>465</v>
      </c>
      <c r="B9" s="11" t="s">
        <v>491</v>
      </c>
      <c r="C9" s="87" t="s">
        <v>520</v>
      </c>
      <c r="D9" s="11" t="s">
        <v>491</v>
      </c>
      <c r="E9" s="11" t="s">
        <v>723</v>
      </c>
      <c r="F9" s="11" t="s">
        <v>717</v>
      </c>
      <c r="G9" s="11" t="s">
        <v>722</v>
      </c>
      <c r="H9" s="11" t="s">
        <v>724</v>
      </c>
      <c r="I9" s="11" t="s">
        <v>534</v>
      </c>
    </row>
    <row r="10" spans="1:9" x14ac:dyDescent="0.35">
      <c r="A10" s="11" t="s">
        <v>467</v>
      </c>
      <c r="B10" s="11" t="s">
        <v>491</v>
      </c>
      <c r="C10" s="87" t="s">
        <v>520</v>
      </c>
      <c r="D10" s="11" t="s">
        <v>491</v>
      </c>
      <c r="E10" s="11" t="s">
        <v>717</v>
      </c>
      <c r="F10" s="11" t="s">
        <v>717</v>
      </c>
      <c r="G10" s="11" t="s">
        <v>718</v>
      </c>
      <c r="H10" s="11" t="s">
        <v>724</v>
      </c>
      <c r="I10" s="11" t="s">
        <v>534</v>
      </c>
    </row>
    <row r="11" spans="1:9" x14ac:dyDescent="0.35">
      <c r="A11" s="11" t="s">
        <v>468</v>
      </c>
      <c r="B11" s="11" t="s">
        <v>491</v>
      </c>
      <c r="C11" s="87" t="s">
        <v>520</v>
      </c>
      <c r="D11" s="11" t="s">
        <v>491</v>
      </c>
      <c r="E11" s="11" t="s">
        <v>723</v>
      </c>
      <c r="F11" s="11" t="s">
        <v>717</v>
      </c>
      <c r="G11" s="11" t="s">
        <v>718</v>
      </c>
      <c r="H11" s="11" t="s">
        <v>724</v>
      </c>
      <c r="I11" s="11" t="s">
        <v>534</v>
      </c>
    </row>
    <row r="12" spans="1:9" x14ac:dyDescent="0.35">
      <c r="A12" s="11" t="s">
        <v>469</v>
      </c>
      <c r="B12" s="11" t="s">
        <v>491</v>
      </c>
      <c r="C12" s="87" t="s">
        <v>520</v>
      </c>
      <c r="D12" s="11" t="s">
        <v>491</v>
      </c>
      <c r="E12" s="11" t="s">
        <v>723</v>
      </c>
      <c r="F12" s="11" t="s">
        <v>717</v>
      </c>
      <c r="G12" s="11" t="s">
        <v>719</v>
      </c>
      <c r="H12" s="11" t="s">
        <v>724</v>
      </c>
      <c r="I12" s="11" t="s">
        <v>534</v>
      </c>
    </row>
    <row r="13" spans="1:9" ht="31.2" x14ac:dyDescent="0.35">
      <c r="A13" s="11" t="s">
        <v>549</v>
      </c>
      <c r="B13" s="11" t="s">
        <v>491</v>
      </c>
      <c r="C13" s="87" t="s">
        <v>601</v>
      </c>
      <c r="D13" s="11" t="s">
        <v>491</v>
      </c>
      <c r="E13" s="11" t="s">
        <v>717</v>
      </c>
      <c r="F13" s="11" t="s">
        <v>717</v>
      </c>
      <c r="G13" s="11" t="s">
        <v>718</v>
      </c>
      <c r="H13" s="11" t="s">
        <v>724</v>
      </c>
      <c r="I13" s="11" t="s">
        <v>534</v>
      </c>
    </row>
    <row r="14" spans="1:9" x14ac:dyDescent="0.35">
      <c r="A14" s="11" t="s">
        <v>501</v>
      </c>
      <c r="B14" s="11" t="s">
        <v>491</v>
      </c>
      <c r="C14" s="87" t="s">
        <v>520</v>
      </c>
      <c r="D14" s="11" t="s">
        <v>491</v>
      </c>
      <c r="E14" s="11" t="s">
        <v>723</v>
      </c>
      <c r="F14" s="11" t="s">
        <v>723</v>
      </c>
      <c r="G14" s="11" t="s">
        <v>723</v>
      </c>
      <c r="H14" s="11" t="s">
        <v>724</v>
      </c>
      <c r="I14" s="11" t="s">
        <v>534</v>
      </c>
    </row>
    <row r="15" spans="1:9" x14ac:dyDescent="0.35">
      <c r="A15" s="11" t="s">
        <v>470</v>
      </c>
      <c r="B15" s="11" t="s">
        <v>491</v>
      </c>
      <c r="C15" s="87" t="s">
        <v>520</v>
      </c>
      <c r="D15" s="11" t="s">
        <v>491</v>
      </c>
      <c r="E15" s="11" t="s">
        <v>723</v>
      </c>
      <c r="F15" s="11" t="s">
        <v>717</v>
      </c>
      <c r="G15" s="11" t="s">
        <v>721</v>
      </c>
      <c r="H15" s="11" t="s">
        <v>724</v>
      </c>
      <c r="I15" s="11" t="s">
        <v>534</v>
      </c>
    </row>
    <row r="16" spans="1:9" x14ac:dyDescent="0.35">
      <c r="A16" s="11" t="s">
        <v>471</v>
      </c>
      <c r="B16" s="11" t="s">
        <v>491</v>
      </c>
      <c r="C16" s="87" t="s">
        <v>520</v>
      </c>
      <c r="D16" s="11" t="s">
        <v>491</v>
      </c>
      <c r="E16" s="11" t="s">
        <v>723</v>
      </c>
      <c r="F16" s="11" t="s">
        <v>717</v>
      </c>
      <c r="G16" s="11" t="s">
        <v>721</v>
      </c>
      <c r="H16" s="11" t="s">
        <v>724</v>
      </c>
      <c r="I16" s="11" t="s">
        <v>534</v>
      </c>
    </row>
    <row r="17" spans="1:9" x14ac:dyDescent="0.35">
      <c r="A17" s="11" t="s">
        <v>473</v>
      </c>
      <c r="B17" s="11" t="s">
        <v>491</v>
      </c>
      <c r="C17" s="87" t="s">
        <v>520</v>
      </c>
      <c r="D17" s="11" t="s">
        <v>491</v>
      </c>
      <c r="E17" s="11" t="s">
        <v>723</v>
      </c>
      <c r="F17" s="11" t="s">
        <v>717</v>
      </c>
      <c r="G17" s="11" t="s">
        <v>722</v>
      </c>
      <c r="H17" s="11" t="s">
        <v>724</v>
      </c>
      <c r="I17" s="11" t="s">
        <v>534</v>
      </c>
    </row>
    <row r="18" spans="1:9" x14ac:dyDescent="0.35">
      <c r="A18" s="11" t="s">
        <v>474</v>
      </c>
      <c r="B18" s="11" t="s">
        <v>491</v>
      </c>
      <c r="C18" s="87" t="s">
        <v>520</v>
      </c>
      <c r="D18" s="11" t="s">
        <v>491</v>
      </c>
      <c r="E18" s="11" t="s">
        <v>723</v>
      </c>
      <c r="F18" s="11" t="s">
        <v>717</v>
      </c>
      <c r="G18" s="11" t="s">
        <v>722</v>
      </c>
      <c r="H18" s="11" t="s">
        <v>724</v>
      </c>
      <c r="I18" s="11" t="s">
        <v>534</v>
      </c>
    </row>
    <row r="19" spans="1:9" x14ac:dyDescent="0.35">
      <c r="A19" s="11" t="s">
        <v>476</v>
      </c>
      <c r="B19" s="11" t="s">
        <v>491</v>
      </c>
      <c r="C19" s="87" t="s">
        <v>520</v>
      </c>
      <c r="D19" s="11" t="s">
        <v>491</v>
      </c>
      <c r="E19" s="11" t="s">
        <v>717</v>
      </c>
      <c r="F19" s="11" t="s">
        <v>717</v>
      </c>
      <c r="G19" s="11" t="s">
        <v>722</v>
      </c>
      <c r="H19" s="11" t="s">
        <v>724</v>
      </c>
      <c r="I19" s="11" t="s">
        <v>534</v>
      </c>
    </row>
    <row r="20" spans="1:9" x14ac:dyDescent="0.35">
      <c r="A20" s="11" t="s">
        <v>477</v>
      </c>
      <c r="B20" s="11" t="s">
        <v>491</v>
      </c>
      <c r="C20" s="87" t="s">
        <v>520</v>
      </c>
      <c r="D20" s="11" t="s">
        <v>491</v>
      </c>
      <c r="E20" s="11" t="s">
        <v>723</v>
      </c>
      <c r="F20" s="11" t="s">
        <v>723</v>
      </c>
      <c r="G20" s="11" t="s">
        <v>723</v>
      </c>
      <c r="H20" s="11" t="s">
        <v>724</v>
      </c>
      <c r="I20" s="11" t="s">
        <v>534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I21"/>
  <sheetViews>
    <sheetView workbookViewId="0">
      <selection sqref="A1:B1"/>
    </sheetView>
  </sheetViews>
  <sheetFormatPr defaultRowHeight="13.8" x14ac:dyDescent="0.25"/>
  <cols>
    <col min="1" max="1" width="16.21875" customWidth="1"/>
    <col min="3" max="3" width="65.88671875" customWidth="1"/>
    <col min="8" max="8" width="10.5546875" customWidth="1"/>
    <col min="9" max="9" width="10.6640625" bestFit="1" customWidth="1"/>
  </cols>
  <sheetData>
    <row r="1" spans="1:9" x14ac:dyDescent="0.25">
      <c r="A1" s="38" t="s">
        <v>215</v>
      </c>
      <c r="B1" s="33" t="s">
        <v>396</v>
      </c>
      <c r="C1" s="32" t="s">
        <v>13</v>
      </c>
      <c r="D1" s="33" t="s">
        <v>58</v>
      </c>
      <c r="E1" s="33" t="s">
        <v>211</v>
      </c>
      <c r="F1" s="33" t="s">
        <v>213</v>
      </c>
      <c r="G1" s="33" t="s">
        <v>55</v>
      </c>
      <c r="H1" s="33" t="s">
        <v>178</v>
      </c>
      <c r="I1" s="43" t="s">
        <v>16</v>
      </c>
    </row>
    <row r="2" spans="1:9" ht="15.6" x14ac:dyDescent="0.25">
      <c r="A2" s="78" t="s">
        <v>499</v>
      </c>
      <c r="B2" s="73" t="s">
        <v>491</v>
      </c>
      <c r="C2" s="73" t="s">
        <v>550</v>
      </c>
      <c r="D2" s="73" t="s">
        <v>491</v>
      </c>
      <c r="E2" s="73" t="s">
        <v>553</v>
      </c>
      <c r="F2" s="73" t="s">
        <v>717</v>
      </c>
      <c r="G2" s="73" t="s">
        <v>626</v>
      </c>
      <c r="H2" s="73" t="s">
        <v>724</v>
      </c>
      <c r="I2" s="73" t="s">
        <v>492</v>
      </c>
    </row>
    <row r="3" spans="1:9" ht="15.6" x14ac:dyDescent="0.25">
      <c r="A3" s="78" t="s">
        <v>463</v>
      </c>
      <c r="B3" s="73" t="s">
        <v>491</v>
      </c>
      <c r="C3" s="73" t="s">
        <v>550</v>
      </c>
      <c r="D3" s="73" t="s">
        <v>491</v>
      </c>
      <c r="E3" s="73" t="s">
        <v>723</v>
      </c>
      <c r="F3" s="73" t="s">
        <v>717</v>
      </c>
      <c r="G3" s="73" t="s">
        <v>720</v>
      </c>
      <c r="H3" s="73" t="s">
        <v>724</v>
      </c>
      <c r="I3" s="73" t="s">
        <v>492</v>
      </c>
    </row>
    <row r="4" spans="1:9" ht="15.6" x14ac:dyDescent="0.25">
      <c r="A4" s="78" t="s">
        <v>535</v>
      </c>
      <c r="B4" s="73" t="s">
        <v>491</v>
      </c>
      <c r="C4" s="73" t="s">
        <v>550</v>
      </c>
      <c r="D4" s="73" t="s">
        <v>491</v>
      </c>
      <c r="E4" s="73" t="s">
        <v>553</v>
      </c>
      <c r="F4" s="73" t="s">
        <v>717</v>
      </c>
      <c r="G4" s="73" t="s">
        <v>692</v>
      </c>
      <c r="H4" s="73" t="s">
        <v>724</v>
      </c>
      <c r="I4" s="73" t="s">
        <v>492</v>
      </c>
    </row>
    <row r="5" spans="1:9" ht="15.6" x14ac:dyDescent="0.25">
      <c r="A5" s="78" t="s">
        <v>536</v>
      </c>
      <c r="B5" s="73" t="s">
        <v>491</v>
      </c>
      <c r="C5" s="73" t="s">
        <v>552</v>
      </c>
      <c r="D5" s="73" t="s">
        <v>491</v>
      </c>
      <c r="E5" s="73" t="s">
        <v>553</v>
      </c>
      <c r="F5" s="73" t="s">
        <v>717</v>
      </c>
      <c r="G5" s="73" t="s">
        <v>692</v>
      </c>
      <c r="H5" s="73" t="s">
        <v>724</v>
      </c>
      <c r="I5" s="73" t="s">
        <v>492</v>
      </c>
    </row>
    <row r="6" spans="1:9" ht="15.6" x14ac:dyDescent="0.25">
      <c r="A6" s="78" t="s">
        <v>248</v>
      </c>
      <c r="B6" s="73" t="s">
        <v>491</v>
      </c>
      <c r="C6" s="73" t="s">
        <v>716</v>
      </c>
      <c r="D6" s="73" t="s">
        <v>491</v>
      </c>
      <c r="E6" s="73" t="s">
        <v>553</v>
      </c>
      <c r="F6" s="73" t="s">
        <v>717</v>
      </c>
      <c r="G6" s="73" t="s">
        <v>692</v>
      </c>
      <c r="H6" s="73" t="s">
        <v>724</v>
      </c>
      <c r="I6" s="73" t="s">
        <v>492</v>
      </c>
    </row>
    <row r="7" spans="1:9" ht="15.6" x14ac:dyDescent="0.25">
      <c r="A7" s="78" t="s">
        <v>259</v>
      </c>
      <c r="B7" s="73" t="s">
        <v>491</v>
      </c>
      <c r="C7" s="73" t="s">
        <v>551</v>
      </c>
      <c r="D7" s="73" t="s">
        <v>491</v>
      </c>
      <c r="E7" s="73" t="s">
        <v>723</v>
      </c>
      <c r="F7" s="73" t="s">
        <v>723</v>
      </c>
      <c r="G7" s="73" t="s">
        <v>723</v>
      </c>
      <c r="H7" s="73" t="s">
        <v>724</v>
      </c>
      <c r="I7" s="73" t="s">
        <v>492</v>
      </c>
    </row>
    <row r="8" spans="1:9" ht="15.6" x14ac:dyDescent="0.25">
      <c r="A8" s="78" t="s">
        <v>548</v>
      </c>
      <c r="B8" s="73" t="s">
        <v>491</v>
      </c>
      <c r="C8" s="73" t="s">
        <v>551</v>
      </c>
      <c r="D8" s="73" t="s">
        <v>491</v>
      </c>
      <c r="E8" s="73" t="s">
        <v>723</v>
      </c>
      <c r="F8" s="73" t="s">
        <v>723</v>
      </c>
      <c r="G8" s="73" t="s">
        <v>723</v>
      </c>
      <c r="H8" s="73" t="s">
        <v>724</v>
      </c>
      <c r="I8" s="73" t="s">
        <v>492</v>
      </c>
    </row>
    <row r="9" spans="1:9" ht="15.6" x14ac:dyDescent="0.25">
      <c r="A9" s="78" t="s">
        <v>495</v>
      </c>
      <c r="B9" s="73" t="s">
        <v>491</v>
      </c>
      <c r="C9" s="73" t="s">
        <v>551</v>
      </c>
      <c r="D9" s="73" t="s">
        <v>491</v>
      </c>
      <c r="E9" s="73" t="s">
        <v>723</v>
      </c>
      <c r="F9" s="73" t="s">
        <v>717</v>
      </c>
      <c r="G9" s="73" t="s">
        <v>718</v>
      </c>
      <c r="H9" s="73" t="s">
        <v>724</v>
      </c>
      <c r="I9" s="73" t="s">
        <v>492</v>
      </c>
    </row>
    <row r="10" spans="1:9" ht="15.6" x14ac:dyDescent="0.25">
      <c r="A10" s="78" t="s">
        <v>537</v>
      </c>
      <c r="B10" s="73" t="s">
        <v>491</v>
      </c>
      <c r="C10" s="73" t="s">
        <v>550</v>
      </c>
      <c r="D10" s="73" t="s">
        <v>491</v>
      </c>
      <c r="E10" s="73" t="s">
        <v>723</v>
      </c>
      <c r="F10" s="73" t="s">
        <v>717</v>
      </c>
      <c r="G10" s="73" t="s">
        <v>721</v>
      </c>
      <c r="H10" s="73" t="s">
        <v>724</v>
      </c>
      <c r="I10" s="73" t="s">
        <v>492</v>
      </c>
    </row>
    <row r="11" spans="1:9" ht="15.6" x14ac:dyDescent="0.25">
      <c r="A11" s="78" t="s">
        <v>475</v>
      </c>
      <c r="B11" s="73" t="s">
        <v>491</v>
      </c>
      <c r="C11" s="73" t="s">
        <v>550</v>
      </c>
      <c r="D11" s="73" t="s">
        <v>491</v>
      </c>
      <c r="E11" s="73" t="s">
        <v>717</v>
      </c>
      <c r="F11" s="73" t="s">
        <v>717</v>
      </c>
      <c r="G11" s="73" t="s">
        <v>722</v>
      </c>
      <c r="H11" s="73" t="s">
        <v>724</v>
      </c>
      <c r="I11" s="73" t="s">
        <v>492</v>
      </c>
    </row>
    <row r="12" spans="1:9" ht="15.6" x14ac:dyDescent="0.25">
      <c r="A12" s="78" t="s">
        <v>538</v>
      </c>
      <c r="B12" s="73" t="s">
        <v>491</v>
      </c>
      <c r="C12" s="73" t="s">
        <v>550</v>
      </c>
      <c r="D12" s="73" t="s">
        <v>491</v>
      </c>
      <c r="E12" s="73" t="s">
        <v>723</v>
      </c>
      <c r="F12" s="73" t="s">
        <v>717</v>
      </c>
      <c r="G12" s="73" t="s">
        <v>720</v>
      </c>
      <c r="H12" s="73" t="s">
        <v>724</v>
      </c>
      <c r="I12" s="73" t="s">
        <v>492</v>
      </c>
    </row>
    <row r="13" spans="1:9" ht="15.6" x14ac:dyDescent="0.25">
      <c r="A13" s="78" t="s">
        <v>539</v>
      </c>
      <c r="B13" s="73" t="s">
        <v>491</v>
      </c>
      <c r="C13" s="73" t="s">
        <v>550</v>
      </c>
      <c r="D13" s="73" t="s">
        <v>491</v>
      </c>
      <c r="E13" s="73" t="s">
        <v>723</v>
      </c>
      <c r="F13" s="73" t="s">
        <v>717</v>
      </c>
      <c r="G13" s="73" t="s">
        <v>719</v>
      </c>
      <c r="H13" s="73" t="s">
        <v>724</v>
      </c>
      <c r="I13" s="73" t="s">
        <v>492</v>
      </c>
    </row>
    <row r="14" spans="1:9" ht="15.6" x14ac:dyDescent="0.25">
      <c r="A14" s="78" t="s">
        <v>540</v>
      </c>
      <c r="B14" s="73" t="s">
        <v>491</v>
      </c>
      <c r="C14" s="73" t="s">
        <v>550</v>
      </c>
      <c r="D14" s="73" t="s">
        <v>491</v>
      </c>
      <c r="E14" s="73" t="s">
        <v>717</v>
      </c>
      <c r="F14" s="73" t="s">
        <v>717</v>
      </c>
      <c r="G14" s="73" t="s">
        <v>720</v>
      </c>
      <c r="H14" s="73" t="s">
        <v>724</v>
      </c>
      <c r="I14" s="73" t="s">
        <v>492</v>
      </c>
    </row>
    <row r="15" spans="1:9" ht="15.6" x14ac:dyDescent="0.25">
      <c r="A15" s="78" t="s">
        <v>541</v>
      </c>
      <c r="B15" s="73" t="s">
        <v>491</v>
      </c>
      <c r="C15" s="73" t="s">
        <v>550</v>
      </c>
      <c r="D15" s="73" t="s">
        <v>491</v>
      </c>
      <c r="E15" s="73" t="s">
        <v>723</v>
      </c>
      <c r="F15" s="73" t="s">
        <v>717</v>
      </c>
      <c r="G15" s="73" t="s">
        <v>718</v>
      </c>
      <c r="H15" s="73" t="s">
        <v>724</v>
      </c>
      <c r="I15" s="73" t="s">
        <v>492</v>
      </c>
    </row>
    <row r="16" spans="1:9" ht="15.6" x14ac:dyDescent="0.25">
      <c r="A16" s="78" t="s">
        <v>466</v>
      </c>
      <c r="B16" s="73" t="s">
        <v>491</v>
      </c>
      <c r="C16" s="73" t="s">
        <v>550</v>
      </c>
      <c r="D16" s="73" t="s">
        <v>491</v>
      </c>
      <c r="E16" s="73" t="s">
        <v>553</v>
      </c>
      <c r="F16" s="73" t="s">
        <v>717</v>
      </c>
      <c r="G16" s="73" t="s">
        <v>692</v>
      </c>
      <c r="H16" s="73" t="s">
        <v>724</v>
      </c>
      <c r="I16" s="73" t="s">
        <v>492</v>
      </c>
    </row>
    <row r="17" spans="1:9" ht="15.6" x14ac:dyDescent="0.25">
      <c r="A17" s="78" t="s">
        <v>542</v>
      </c>
      <c r="B17" s="73" t="s">
        <v>491</v>
      </c>
      <c r="C17" s="73" t="s">
        <v>550</v>
      </c>
      <c r="D17" s="73" t="s">
        <v>491</v>
      </c>
      <c r="E17" s="73" t="s">
        <v>723</v>
      </c>
      <c r="F17" s="73" t="s">
        <v>717</v>
      </c>
      <c r="G17" s="73" t="s">
        <v>721</v>
      </c>
      <c r="H17" s="73" t="s">
        <v>724</v>
      </c>
      <c r="I17" s="73" t="s">
        <v>492</v>
      </c>
    </row>
    <row r="18" spans="1:9" ht="15.6" x14ac:dyDescent="0.25">
      <c r="A18" s="78" t="s">
        <v>543</v>
      </c>
      <c r="B18" s="73" t="s">
        <v>491</v>
      </c>
      <c r="C18" s="73" t="s">
        <v>550</v>
      </c>
      <c r="D18" s="73" t="s">
        <v>491</v>
      </c>
      <c r="E18" s="73" t="s">
        <v>723</v>
      </c>
      <c r="F18" s="73" t="s">
        <v>717</v>
      </c>
      <c r="G18" s="73" t="s">
        <v>721</v>
      </c>
      <c r="H18" s="73" t="s">
        <v>724</v>
      </c>
      <c r="I18" s="73" t="s">
        <v>492</v>
      </c>
    </row>
    <row r="19" spans="1:9" ht="15.6" x14ac:dyDescent="0.25">
      <c r="A19" s="78" t="s">
        <v>544</v>
      </c>
      <c r="B19" s="73" t="s">
        <v>491</v>
      </c>
      <c r="C19" s="73" t="s">
        <v>550</v>
      </c>
      <c r="D19" s="73" t="s">
        <v>491</v>
      </c>
      <c r="E19" s="73" t="s">
        <v>723</v>
      </c>
      <c r="F19" s="73" t="s">
        <v>717</v>
      </c>
      <c r="G19" s="73" t="s">
        <v>721</v>
      </c>
      <c r="H19" s="73" t="s">
        <v>724</v>
      </c>
      <c r="I19" s="73" t="s">
        <v>492</v>
      </c>
    </row>
    <row r="20" spans="1:9" ht="15.6" x14ac:dyDescent="0.25">
      <c r="A20" s="78" t="s">
        <v>472</v>
      </c>
      <c r="B20" s="73" t="s">
        <v>491</v>
      </c>
      <c r="C20" s="73" t="s">
        <v>550</v>
      </c>
      <c r="D20" s="73" t="s">
        <v>491</v>
      </c>
      <c r="E20" s="73" t="s">
        <v>723</v>
      </c>
      <c r="F20" s="73" t="s">
        <v>717</v>
      </c>
      <c r="G20" s="73" t="s">
        <v>722</v>
      </c>
      <c r="H20" s="73" t="s">
        <v>724</v>
      </c>
      <c r="I20" s="73" t="s">
        <v>492</v>
      </c>
    </row>
    <row r="21" spans="1:9" ht="15.6" x14ac:dyDescent="0.25">
      <c r="A21" s="78" t="s">
        <v>545</v>
      </c>
      <c r="B21" s="73" t="s">
        <v>491</v>
      </c>
      <c r="C21" s="73" t="s">
        <v>550</v>
      </c>
      <c r="D21" s="73" t="s">
        <v>491</v>
      </c>
      <c r="E21" s="73" t="s">
        <v>717</v>
      </c>
      <c r="F21" s="73" t="s">
        <v>717</v>
      </c>
      <c r="G21" s="73" t="s">
        <v>720</v>
      </c>
      <c r="H21" s="73" t="s">
        <v>724</v>
      </c>
      <c r="I21" s="73" t="s">
        <v>492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J22"/>
  <sheetViews>
    <sheetView zoomScale="85" zoomScaleNormal="85" workbookViewId="0">
      <selection activeCell="B1" sqref="B1:C1"/>
    </sheetView>
  </sheetViews>
  <sheetFormatPr defaultRowHeight="13.2" x14ac:dyDescent="0.3"/>
  <cols>
    <col min="1" max="1" width="8.88671875" style="25"/>
    <col min="2" max="2" width="13.6640625" style="25" customWidth="1"/>
    <col min="3" max="3" width="8.88671875" style="25"/>
    <col min="4" max="4" width="65.109375" style="58" customWidth="1"/>
    <col min="5" max="8" width="8.88671875" style="25"/>
    <col min="9" max="9" width="10.88671875" style="25" customWidth="1"/>
    <col min="10" max="10" width="13.5546875" style="25" customWidth="1"/>
    <col min="11" max="16384" width="8.88671875" style="25"/>
  </cols>
  <sheetData>
    <row r="1" spans="1:10" x14ac:dyDescent="0.3">
      <c r="A1" s="43" t="s">
        <v>444</v>
      </c>
      <c r="B1" s="38" t="s">
        <v>215</v>
      </c>
      <c r="C1" s="33" t="s">
        <v>396</v>
      </c>
      <c r="D1" s="42" t="s">
        <v>13</v>
      </c>
      <c r="E1" s="33" t="s">
        <v>58</v>
      </c>
      <c r="F1" s="33" t="s">
        <v>211</v>
      </c>
      <c r="G1" s="33" t="s">
        <v>213</v>
      </c>
      <c r="H1" s="33" t="s">
        <v>55</v>
      </c>
      <c r="I1" s="33" t="s">
        <v>725</v>
      </c>
      <c r="J1" s="43" t="s">
        <v>16</v>
      </c>
    </row>
    <row r="2" spans="1:10" x14ac:dyDescent="0.3">
      <c r="A2" s="92" t="s">
        <v>494</v>
      </c>
      <c r="B2" s="30" t="s">
        <v>499</v>
      </c>
      <c r="C2" s="30" t="s">
        <v>491</v>
      </c>
      <c r="D2" s="61" t="s">
        <v>588</v>
      </c>
      <c r="E2" s="30" t="s">
        <v>491</v>
      </c>
      <c r="F2" s="30" t="s">
        <v>491</v>
      </c>
      <c r="G2" s="30" t="s">
        <v>491</v>
      </c>
      <c r="H2" s="30" t="s">
        <v>491</v>
      </c>
      <c r="I2" s="30" t="s">
        <v>724</v>
      </c>
      <c r="J2" s="30" t="s">
        <v>492</v>
      </c>
    </row>
    <row r="3" spans="1:10" x14ac:dyDescent="0.3">
      <c r="A3" s="92"/>
      <c r="B3" s="30" t="s">
        <v>500</v>
      </c>
      <c r="C3" s="30" t="s">
        <v>491</v>
      </c>
      <c r="D3" s="61" t="s">
        <v>589</v>
      </c>
      <c r="E3" s="30" t="s">
        <v>491</v>
      </c>
      <c r="F3" s="30" t="s">
        <v>491</v>
      </c>
      <c r="G3" s="30" t="s">
        <v>491</v>
      </c>
      <c r="H3" s="30" t="s">
        <v>491</v>
      </c>
      <c r="I3" s="30" t="s">
        <v>724</v>
      </c>
      <c r="J3" s="30" t="s">
        <v>492</v>
      </c>
    </row>
    <row r="4" spans="1:10" x14ac:dyDescent="0.3">
      <c r="A4" s="92"/>
      <c r="B4" s="30" t="s">
        <v>528</v>
      </c>
      <c r="C4" s="30" t="s">
        <v>491</v>
      </c>
      <c r="D4" s="61" t="s">
        <v>590</v>
      </c>
      <c r="E4" s="30" t="s">
        <v>491</v>
      </c>
      <c r="F4" s="30" t="s">
        <v>491</v>
      </c>
      <c r="G4" s="30" t="s">
        <v>491</v>
      </c>
      <c r="H4" s="30" t="s">
        <v>491</v>
      </c>
      <c r="I4" s="30" t="s">
        <v>724</v>
      </c>
      <c r="J4" s="30" t="s">
        <v>492</v>
      </c>
    </row>
    <row r="5" spans="1:10" x14ac:dyDescent="0.3">
      <c r="A5" s="92"/>
      <c r="B5" s="30" t="s">
        <v>501</v>
      </c>
      <c r="C5" s="30" t="s">
        <v>491</v>
      </c>
      <c r="D5" s="61" t="s">
        <v>527</v>
      </c>
      <c r="E5" s="30" t="s">
        <v>491</v>
      </c>
      <c r="F5" s="30" t="s">
        <v>491</v>
      </c>
      <c r="G5" s="30" t="s">
        <v>491</v>
      </c>
      <c r="H5" s="30" t="s">
        <v>491</v>
      </c>
      <c r="I5" s="30" t="s">
        <v>724</v>
      </c>
      <c r="J5" s="30" t="s">
        <v>492</v>
      </c>
    </row>
    <row r="6" spans="1:10" x14ac:dyDescent="0.3">
      <c r="A6" s="92"/>
      <c r="B6" s="30" t="s">
        <v>525</v>
      </c>
      <c r="C6" s="30" t="s">
        <v>491</v>
      </c>
      <c r="D6" s="61" t="s">
        <v>529</v>
      </c>
      <c r="E6" s="30" t="s">
        <v>491</v>
      </c>
      <c r="F6" s="30" t="s">
        <v>491</v>
      </c>
      <c r="G6" s="30" t="s">
        <v>491</v>
      </c>
      <c r="H6" s="30" t="s">
        <v>491</v>
      </c>
      <c r="I6" s="30" t="s">
        <v>724</v>
      </c>
      <c r="J6" s="30" t="s">
        <v>492</v>
      </c>
    </row>
    <row r="7" spans="1:10" x14ac:dyDescent="0.3">
      <c r="A7" s="92"/>
      <c r="B7" s="30" t="s">
        <v>526</v>
      </c>
      <c r="C7" s="30" t="s">
        <v>491</v>
      </c>
      <c r="D7" s="61" t="s">
        <v>530</v>
      </c>
      <c r="E7" s="30" t="s">
        <v>491</v>
      </c>
      <c r="F7" s="30" t="s">
        <v>491</v>
      </c>
      <c r="G7" s="30" t="s">
        <v>491</v>
      </c>
      <c r="H7" s="30" t="s">
        <v>491</v>
      </c>
      <c r="I7" s="30" t="s">
        <v>724</v>
      </c>
      <c r="J7" s="30" t="s">
        <v>492</v>
      </c>
    </row>
    <row r="8" spans="1:10" x14ac:dyDescent="0.3">
      <c r="A8" s="92" t="s">
        <v>493</v>
      </c>
      <c r="B8" s="30" t="s">
        <v>23</v>
      </c>
      <c r="C8" s="30" t="s">
        <v>491</v>
      </c>
      <c r="D8" s="61" t="s">
        <v>591</v>
      </c>
      <c r="E8" s="30" t="s">
        <v>491</v>
      </c>
      <c r="F8" s="30" t="s">
        <v>491</v>
      </c>
      <c r="G8" s="30" t="s">
        <v>491</v>
      </c>
      <c r="H8" s="30" t="s">
        <v>491</v>
      </c>
      <c r="I8" s="30" t="s">
        <v>724</v>
      </c>
      <c r="J8" s="30" t="s">
        <v>492</v>
      </c>
    </row>
    <row r="9" spans="1:10" x14ac:dyDescent="0.3">
      <c r="A9" s="92"/>
      <c r="B9" s="30" t="s">
        <v>496</v>
      </c>
      <c r="C9" s="30" t="s">
        <v>491</v>
      </c>
      <c r="D9" s="61" t="s">
        <v>480</v>
      </c>
      <c r="E9" s="30" t="s">
        <v>491</v>
      </c>
      <c r="F9" s="30" t="s">
        <v>491</v>
      </c>
      <c r="G9" s="30" t="s">
        <v>491</v>
      </c>
      <c r="H9" s="30" t="s">
        <v>491</v>
      </c>
      <c r="I9" s="30" t="s">
        <v>724</v>
      </c>
      <c r="J9" s="30" t="s">
        <v>492</v>
      </c>
    </row>
    <row r="10" spans="1:10" x14ac:dyDescent="0.3">
      <c r="A10" s="92"/>
      <c r="B10" s="30" t="s">
        <v>479</v>
      </c>
      <c r="C10" s="30" t="s">
        <v>491</v>
      </c>
      <c r="D10" s="61" t="s">
        <v>483</v>
      </c>
      <c r="E10" s="30" t="s">
        <v>491</v>
      </c>
      <c r="F10" s="30" t="s">
        <v>491</v>
      </c>
      <c r="G10" s="30" t="s">
        <v>491</v>
      </c>
      <c r="H10" s="30" t="s">
        <v>491</v>
      </c>
      <c r="I10" s="30" t="s">
        <v>724</v>
      </c>
      <c r="J10" s="30" t="s">
        <v>492</v>
      </c>
    </row>
    <row r="11" spans="1:10" x14ac:dyDescent="0.3">
      <c r="A11" s="92"/>
      <c r="B11" s="77" t="s">
        <v>497</v>
      </c>
      <c r="C11" s="30" t="s">
        <v>491</v>
      </c>
      <c r="D11" s="61" t="s">
        <v>481</v>
      </c>
      <c r="E11" s="30" t="s">
        <v>491</v>
      </c>
      <c r="F11" s="30" t="s">
        <v>491</v>
      </c>
      <c r="G11" s="30" t="s">
        <v>491</v>
      </c>
      <c r="H11" s="30" t="s">
        <v>491</v>
      </c>
      <c r="I11" s="30" t="s">
        <v>724</v>
      </c>
      <c r="J11" s="30" t="s">
        <v>492</v>
      </c>
    </row>
    <row r="12" spans="1:10" x14ac:dyDescent="0.3">
      <c r="A12" s="92"/>
      <c r="B12" s="77" t="s">
        <v>498</v>
      </c>
      <c r="C12" s="30" t="s">
        <v>491</v>
      </c>
      <c r="D12" s="61" t="s">
        <v>482</v>
      </c>
      <c r="E12" s="30" t="s">
        <v>491</v>
      </c>
      <c r="F12" s="30" t="s">
        <v>491</v>
      </c>
      <c r="G12" s="30" t="s">
        <v>491</v>
      </c>
      <c r="H12" s="30" t="s">
        <v>491</v>
      </c>
      <c r="I12" s="30" t="s">
        <v>724</v>
      </c>
      <c r="J12" s="30" t="s">
        <v>492</v>
      </c>
    </row>
    <row r="13" spans="1:10" x14ac:dyDescent="0.3">
      <c r="A13" s="92"/>
      <c r="B13" s="77" t="s">
        <v>484</v>
      </c>
      <c r="C13" s="30" t="s">
        <v>491</v>
      </c>
      <c r="D13" s="61" t="s">
        <v>533</v>
      </c>
      <c r="E13" s="30" t="s">
        <v>491</v>
      </c>
      <c r="F13" s="30" t="s">
        <v>491</v>
      </c>
      <c r="G13" s="30" t="s">
        <v>491</v>
      </c>
      <c r="H13" s="30" t="s">
        <v>491</v>
      </c>
      <c r="I13" s="30" t="s">
        <v>724</v>
      </c>
      <c r="J13" s="30" t="s">
        <v>492</v>
      </c>
    </row>
    <row r="14" spans="1:10" x14ac:dyDescent="0.3">
      <c r="A14" s="92"/>
      <c r="B14" s="77" t="s">
        <v>485</v>
      </c>
      <c r="C14" s="30" t="s">
        <v>491</v>
      </c>
      <c r="D14" s="61" t="s">
        <v>533</v>
      </c>
      <c r="E14" s="30" t="s">
        <v>491</v>
      </c>
      <c r="F14" s="30" t="s">
        <v>491</v>
      </c>
      <c r="G14" s="30" t="s">
        <v>491</v>
      </c>
      <c r="H14" s="30" t="s">
        <v>491</v>
      </c>
      <c r="I14" s="30" t="s">
        <v>724</v>
      </c>
      <c r="J14" s="30" t="s">
        <v>492</v>
      </c>
    </row>
    <row r="15" spans="1:10" x14ac:dyDescent="0.3">
      <c r="A15" s="92"/>
      <c r="B15" s="77" t="s">
        <v>486</v>
      </c>
      <c r="C15" s="30" t="s">
        <v>491</v>
      </c>
      <c r="D15" s="61" t="s">
        <v>533</v>
      </c>
      <c r="E15" s="30" t="s">
        <v>491</v>
      </c>
      <c r="F15" s="30" t="s">
        <v>491</v>
      </c>
      <c r="G15" s="30" t="s">
        <v>491</v>
      </c>
      <c r="H15" s="30" t="s">
        <v>491</v>
      </c>
      <c r="I15" s="30" t="s">
        <v>724</v>
      </c>
      <c r="J15" s="30" t="s">
        <v>492</v>
      </c>
    </row>
    <row r="16" spans="1:10" x14ac:dyDescent="0.3">
      <c r="A16" s="92"/>
      <c r="B16" s="77" t="s">
        <v>487</v>
      </c>
      <c r="C16" s="30" t="s">
        <v>491</v>
      </c>
      <c r="D16" s="61" t="s">
        <v>533</v>
      </c>
      <c r="E16" s="30" t="s">
        <v>491</v>
      </c>
      <c r="F16" s="30" t="s">
        <v>491</v>
      </c>
      <c r="G16" s="30" t="s">
        <v>491</v>
      </c>
      <c r="H16" s="30" t="s">
        <v>491</v>
      </c>
      <c r="I16" s="30" t="s">
        <v>724</v>
      </c>
      <c r="J16" s="30" t="s">
        <v>492</v>
      </c>
    </row>
    <row r="17" spans="1:10" x14ac:dyDescent="0.3">
      <c r="A17" s="92"/>
      <c r="B17" s="77" t="s">
        <v>488</v>
      </c>
      <c r="C17" s="30" t="s">
        <v>491</v>
      </c>
      <c r="D17" s="61" t="s">
        <v>533</v>
      </c>
      <c r="E17" s="30" t="s">
        <v>491</v>
      </c>
      <c r="F17" s="30" t="s">
        <v>491</v>
      </c>
      <c r="G17" s="30" t="s">
        <v>491</v>
      </c>
      <c r="H17" s="30" t="s">
        <v>491</v>
      </c>
      <c r="I17" s="30" t="s">
        <v>724</v>
      </c>
      <c r="J17" s="30" t="s">
        <v>492</v>
      </c>
    </row>
    <row r="18" spans="1:10" x14ac:dyDescent="0.3">
      <c r="A18" s="92"/>
      <c r="B18" s="77" t="s">
        <v>489</v>
      </c>
      <c r="C18" s="30" t="s">
        <v>491</v>
      </c>
      <c r="D18" s="61" t="s">
        <v>533</v>
      </c>
      <c r="E18" s="30" t="s">
        <v>491</v>
      </c>
      <c r="F18" s="30" t="s">
        <v>491</v>
      </c>
      <c r="G18" s="30" t="s">
        <v>491</v>
      </c>
      <c r="H18" s="30" t="s">
        <v>491</v>
      </c>
      <c r="I18" s="30" t="s">
        <v>724</v>
      </c>
      <c r="J18" s="30" t="s">
        <v>492</v>
      </c>
    </row>
    <row r="19" spans="1:10" x14ac:dyDescent="0.3">
      <c r="A19" s="92"/>
      <c r="B19" s="77" t="s">
        <v>490</v>
      </c>
      <c r="C19" s="30" t="s">
        <v>491</v>
      </c>
      <c r="D19" s="61" t="s">
        <v>533</v>
      </c>
      <c r="E19" s="30" t="s">
        <v>491</v>
      </c>
      <c r="F19" s="30" t="s">
        <v>491</v>
      </c>
      <c r="G19" s="30" t="s">
        <v>491</v>
      </c>
      <c r="H19" s="30" t="s">
        <v>491</v>
      </c>
      <c r="I19" s="30" t="s">
        <v>724</v>
      </c>
      <c r="J19" s="30" t="s">
        <v>492</v>
      </c>
    </row>
    <row r="20" spans="1:10" x14ac:dyDescent="0.3">
      <c r="A20" s="92"/>
      <c r="B20" s="77" t="s">
        <v>531</v>
      </c>
      <c r="C20" s="30" t="s">
        <v>491</v>
      </c>
      <c r="D20" s="61" t="s">
        <v>533</v>
      </c>
      <c r="E20" s="30" t="s">
        <v>491</v>
      </c>
      <c r="F20" s="30" t="s">
        <v>491</v>
      </c>
      <c r="G20" s="30" t="s">
        <v>491</v>
      </c>
      <c r="H20" s="30" t="s">
        <v>491</v>
      </c>
      <c r="I20" s="30" t="s">
        <v>724</v>
      </c>
      <c r="J20" s="30" t="s">
        <v>492</v>
      </c>
    </row>
    <row r="21" spans="1:10" x14ac:dyDescent="0.3">
      <c r="A21" s="92"/>
      <c r="B21" s="77" t="s">
        <v>532</v>
      </c>
      <c r="C21" s="30" t="s">
        <v>491</v>
      </c>
      <c r="D21" s="61" t="s">
        <v>533</v>
      </c>
      <c r="E21" s="30" t="s">
        <v>491</v>
      </c>
      <c r="F21" s="30" t="s">
        <v>491</v>
      </c>
      <c r="G21" s="30" t="s">
        <v>491</v>
      </c>
      <c r="H21" s="30" t="s">
        <v>491</v>
      </c>
      <c r="I21" s="30" t="s">
        <v>724</v>
      </c>
      <c r="J21" s="30" t="s">
        <v>492</v>
      </c>
    </row>
    <row r="22" spans="1:10" ht="277.2" x14ac:dyDescent="0.3">
      <c r="A22" s="92"/>
      <c r="B22" s="89" t="s">
        <v>503</v>
      </c>
      <c r="C22" s="34" t="s">
        <v>491</v>
      </c>
      <c r="D22" s="23" t="s">
        <v>756</v>
      </c>
      <c r="E22" s="34" t="s">
        <v>491</v>
      </c>
      <c r="F22" s="34" t="s">
        <v>491</v>
      </c>
      <c r="G22" s="34" t="s">
        <v>491</v>
      </c>
      <c r="H22" s="34" t="s">
        <v>491</v>
      </c>
      <c r="I22" s="34" t="s">
        <v>724</v>
      </c>
      <c r="J22" s="34" t="s">
        <v>757</v>
      </c>
    </row>
  </sheetData>
  <mergeCells count="2">
    <mergeCell ref="A8:A22"/>
    <mergeCell ref="A2:A7"/>
  </mergeCells>
  <phoneticPr fontId="3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sqref="A1:B1"/>
    </sheetView>
  </sheetViews>
  <sheetFormatPr defaultColWidth="11.44140625" defaultRowHeight="13.8" x14ac:dyDescent="0.25"/>
  <cols>
    <col min="3" max="3" width="69.6640625" customWidth="1"/>
    <col min="9" max="9" width="37" customWidth="1"/>
  </cols>
  <sheetData>
    <row r="1" spans="1:9" x14ac:dyDescent="0.25">
      <c r="A1" s="38" t="s">
        <v>215</v>
      </c>
      <c r="B1" s="33" t="s">
        <v>396</v>
      </c>
      <c r="C1" s="32" t="s">
        <v>13</v>
      </c>
      <c r="D1" s="33" t="s">
        <v>58</v>
      </c>
      <c r="E1" s="33" t="s">
        <v>211</v>
      </c>
      <c r="F1" s="33" t="s">
        <v>213</v>
      </c>
      <c r="G1" s="33" t="s">
        <v>55</v>
      </c>
      <c r="H1" s="33" t="s">
        <v>725</v>
      </c>
      <c r="I1" s="43" t="s">
        <v>16</v>
      </c>
    </row>
    <row r="2" spans="1:9" ht="15" x14ac:dyDescent="0.3">
      <c r="A2" s="70" t="s">
        <v>12</v>
      </c>
      <c r="B2" s="50" t="str">
        <f>VLOOKUP(A2,字段列表!$A:$G,2,0)</f>
        <v>seqNo</v>
      </c>
      <c r="C2" s="8" t="s">
        <v>730</v>
      </c>
      <c r="D2" s="47" t="str">
        <f>VLOOKUP($A2,字段列表!$A:$G,3,0)</f>
        <v>VARCHAR</v>
      </c>
      <c r="E2" s="47" t="str">
        <f>VLOOKUP($A2,字段列表!$A:$G,5,0)</f>
        <v>-</v>
      </c>
      <c r="F2" s="47" t="str">
        <f>VLOOKUP($A2,字段列表!$A:$G,6,0)</f>
        <v>-</v>
      </c>
      <c r="G2" s="47" t="str">
        <f>VLOOKUP($A2,字段列表!$A:$G,7,0)</f>
        <v>-</v>
      </c>
      <c r="H2" s="47" t="s">
        <v>724</v>
      </c>
      <c r="I2" s="30"/>
    </row>
    <row r="3" spans="1:9" ht="45" x14ac:dyDescent="0.3">
      <c r="A3" s="70" t="s">
        <v>51</v>
      </c>
      <c r="B3" s="50" t="str">
        <f>VLOOKUP(A3,字段列表!$A:$G,2,0)</f>
        <v>configCode</v>
      </c>
      <c r="C3" s="8" t="s">
        <v>731</v>
      </c>
      <c r="D3" s="47" t="str">
        <f>VLOOKUP($A3,字段列表!$A:$G,3,0)</f>
        <v>VARCHAR</v>
      </c>
      <c r="E3" s="47" t="str">
        <f>VLOOKUP($A3,字段列表!$A:$G,5,0)</f>
        <v>Y</v>
      </c>
      <c r="F3" s="47" t="str">
        <f>VLOOKUP($A3,字段列表!$A:$G,6,0)</f>
        <v>Y</v>
      </c>
      <c r="G3" s="47" t="str">
        <f>VLOOKUP($A3,字段列表!$A:$G,7,0)</f>
        <v>TXT-1</v>
      </c>
      <c r="H3" s="47" t="s">
        <v>724</v>
      </c>
      <c r="I3" s="88" t="s">
        <v>732</v>
      </c>
    </row>
    <row r="4" spans="1:9" ht="15" x14ac:dyDescent="0.3">
      <c r="A4" s="70" t="s">
        <v>44</v>
      </c>
      <c r="B4" s="50" t="str">
        <f>VLOOKUP(A4,字段列表!$A:$G,2,0)</f>
        <v>runTime</v>
      </c>
      <c r="C4" s="8" t="s">
        <v>733</v>
      </c>
      <c r="D4" s="47" t="str">
        <f>VLOOKUP($A4,字段列表!$A:$G,3,0)</f>
        <v>Date</v>
      </c>
      <c r="E4" s="47" t="str">
        <f>VLOOKUP($A4,字段列表!$A:$G,5,0)</f>
        <v>-</v>
      </c>
      <c r="F4" s="47" t="str">
        <f>VLOOKUP($A4,字段列表!$A:$G,6,0)</f>
        <v>Y</v>
      </c>
      <c r="G4" s="47" t="str">
        <f>VLOOKUP($A4,字段列表!$A:$G,7,0)</f>
        <v>DATA</v>
      </c>
      <c r="H4" s="47" t="s">
        <v>724</v>
      </c>
      <c r="I4" s="30"/>
    </row>
    <row r="5" spans="1:9" ht="15" x14ac:dyDescent="0.3">
      <c r="A5" s="70" t="s">
        <v>45</v>
      </c>
      <c r="B5" s="50" t="str">
        <f>VLOOKUP(A5,字段列表!$A:$G,2,0)</f>
        <v>lastRunBy</v>
      </c>
      <c r="C5" s="8" t="s">
        <v>733</v>
      </c>
      <c r="D5" s="47" t="str">
        <f>VLOOKUP($A5,字段列表!$A:$G,3,0)</f>
        <v>VARCHAR</v>
      </c>
      <c r="E5" s="47" t="str">
        <f>VLOOKUP($A5,字段列表!$A:$G,5,0)</f>
        <v>-</v>
      </c>
      <c r="F5" s="47" t="str">
        <f>VLOOKUP($A5,字段列表!$A:$G,6,0)</f>
        <v>Y</v>
      </c>
      <c r="G5" s="47" t="str">
        <f>VLOOKUP($A5,字段列表!$A:$G,7,0)</f>
        <v>TXT-2</v>
      </c>
      <c r="H5" s="47" t="s">
        <v>724</v>
      </c>
      <c r="I5" s="30"/>
    </row>
    <row r="6" spans="1:9" ht="15" x14ac:dyDescent="0.3">
      <c r="A6" s="70" t="s">
        <v>734</v>
      </c>
      <c r="B6" s="50" t="s">
        <v>728</v>
      </c>
      <c r="C6" s="8" t="s">
        <v>729</v>
      </c>
      <c r="D6" s="47" t="s">
        <v>431</v>
      </c>
      <c r="E6" s="47" t="str">
        <f>VLOOKUP($A6,字段列表!$A:$G,5,0)</f>
        <v>-</v>
      </c>
      <c r="F6" s="47" t="str">
        <f>VLOOKUP($A6,字段列表!$A:$G,6,0)</f>
        <v>Y</v>
      </c>
      <c r="G6" s="47" t="str">
        <f>VLOOKUP($A6,字段列表!$A:$G,7,0)</f>
        <v>NUM</v>
      </c>
      <c r="H6" s="47" t="s">
        <v>724</v>
      </c>
      <c r="I6" s="3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V20"/>
  <sheetViews>
    <sheetView topLeftCell="B1" workbookViewId="0">
      <selection activeCell="P14" sqref="P14"/>
    </sheetView>
  </sheetViews>
  <sheetFormatPr defaultRowHeight="13.8" x14ac:dyDescent="0.25"/>
  <cols>
    <col min="6" max="6" width="12.44140625" customWidth="1"/>
  </cols>
  <sheetData>
    <row r="2" spans="6:22" x14ac:dyDescent="0.25">
      <c r="U2" t="s">
        <v>146</v>
      </c>
      <c r="V2">
        <v>250</v>
      </c>
    </row>
    <row r="3" spans="6:22" x14ac:dyDescent="0.25">
      <c r="R3" s="93" t="s">
        <v>147</v>
      </c>
      <c r="S3" s="93"/>
      <c r="T3" s="93"/>
    </row>
    <row r="4" spans="6:22" x14ac:dyDescent="0.25">
      <c r="P4" t="s">
        <v>145</v>
      </c>
      <c r="Q4" t="s">
        <v>144</v>
      </c>
      <c r="R4" t="s">
        <v>140</v>
      </c>
      <c r="S4" t="s">
        <v>142</v>
      </c>
      <c r="T4" t="s">
        <v>143</v>
      </c>
    </row>
    <row r="5" spans="6:22" x14ac:dyDescent="0.25">
      <c r="F5" t="s">
        <v>33</v>
      </c>
      <c r="G5">
        <v>1000</v>
      </c>
      <c r="O5" t="s">
        <v>139</v>
      </c>
      <c r="P5">
        <v>300</v>
      </c>
      <c r="Q5">
        <v>0</v>
      </c>
      <c r="R5">
        <v>200</v>
      </c>
      <c r="S5">
        <v>100</v>
      </c>
      <c r="T5">
        <v>300</v>
      </c>
    </row>
    <row r="6" spans="6:22" x14ac:dyDescent="0.25">
      <c r="F6" t="s">
        <v>120</v>
      </c>
      <c r="G6">
        <f>G5*G10/G11</f>
        <v>2150.5376344086021</v>
      </c>
      <c r="O6" t="s">
        <v>141</v>
      </c>
      <c r="P6">
        <v>200</v>
      </c>
      <c r="Q6">
        <v>0</v>
      </c>
      <c r="R6">
        <v>250</v>
      </c>
      <c r="S6">
        <v>0</v>
      </c>
      <c r="T6">
        <v>250</v>
      </c>
    </row>
    <row r="7" spans="6:22" x14ac:dyDescent="0.25">
      <c r="F7" t="s">
        <v>119</v>
      </c>
      <c r="G7">
        <v>1000</v>
      </c>
    </row>
    <row r="8" spans="6:22" x14ac:dyDescent="0.25">
      <c r="F8" t="s">
        <v>94</v>
      </c>
      <c r="G8">
        <f>G6-G7</f>
        <v>1150.5376344086021</v>
      </c>
      <c r="I8" t="s">
        <v>123</v>
      </c>
    </row>
    <row r="9" spans="6:22" x14ac:dyDescent="0.25">
      <c r="F9" t="s">
        <v>111</v>
      </c>
      <c r="G9">
        <v>-500</v>
      </c>
      <c r="I9">
        <f>(G8+G9)/G10*G11</f>
        <v>302.5</v>
      </c>
    </row>
    <row r="10" spans="6:22" x14ac:dyDescent="0.25">
      <c r="F10" t="s">
        <v>114</v>
      </c>
      <c r="G10">
        <v>2</v>
      </c>
    </row>
    <row r="11" spans="6:22" x14ac:dyDescent="0.25">
      <c r="F11" t="s">
        <v>115</v>
      </c>
      <c r="G11">
        <v>0.93</v>
      </c>
    </row>
    <row r="14" spans="6:22" ht="15" x14ac:dyDescent="0.25">
      <c r="I14" s="14" t="s">
        <v>117</v>
      </c>
    </row>
    <row r="15" spans="6:22" x14ac:dyDescent="0.25">
      <c r="I15">
        <f>G7/G10*G11</f>
        <v>465</v>
      </c>
    </row>
    <row r="18" spans="9:13" x14ac:dyDescent="0.25">
      <c r="I18" s="7" t="s">
        <v>122</v>
      </c>
    </row>
    <row r="19" spans="9:13" x14ac:dyDescent="0.25">
      <c r="I19">
        <f>ABS(G9/G10*G11)</f>
        <v>232.5</v>
      </c>
      <c r="M19" t="s">
        <v>140</v>
      </c>
    </row>
    <row r="20" spans="9:13" x14ac:dyDescent="0.25">
      <c r="M20" t="s">
        <v>142</v>
      </c>
    </row>
  </sheetData>
  <mergeCells count="1">
    <mergeCell ref="R3:T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功能点清单</vt:lpstr>
      <vt:lpstr>字段列表</vt:lpstr>
      <vt:lpstr>屏幕编码清单</vt:lpstr>
      <vt:lpstr>查询规则</vt:lpstr>
      <vt:lpstr>表关系图</vt:lpstr>
      <vt:lpstr>屏幕关系</vt:lpstr>
      <vt:lpstr>C1 齐套规则计算配置表</vt:lpstr>
      <vt:lpstr>C1_1 齐套规则计算配置表-组织配置屏幕</vt:lpstr>
      <vt:lpstr>C1_2 齐套规则计算配置表-分类码配置屏幕</vt:lpstr>
      <vt:lpstr>C1_3 齐套规则计算配置表-供给仓位配置</vt:lpstr>
      <vt:lpstr>C1_3_1  齐套规则计算配置表-供给仓位配置-仓位选择</vt:lpstr>
      <vt:lpstr>C1_4 齐套规则计算配置表-供应商配置屏幕</vt:lpstr>
      <vt:lpstr>C1_5 齐套规则计算配置表-工单状态配置屏幕</vt:lpstr>
      <vt:lpstr>C2 工单齐套优先级维护表</vt:lpstr>
      <vt:lpstr>C3 组件责任方配置</vt:lpstr>
      <vt:lpstr>M1 工单齐套明细</vt:lpstr>
      <vt:lpstr>M1_1 WO工单信息表</vt:lpstr>
      <vt:lpstr>M2 工单齐套-工单详情</vt:lpstr>
      <vt:lpstr>M2_1 工单齐套-工单详细-工单组件信息</vt:lpstr>
      <vt:lpstr>M3 工单齐套-物料详细</vt:lpstr>
      <vt:lpstr>M3_1工单齐套-物料详情-物料关联工单信息</vt:lpstr>
      <vt:lpstr>T1 SRM PO交期报表</vt:lpstr>
      <vt:lpstr>T2 PR信息表</vt:lpstr>
      <vt:lpstr>T3 替代料明细</vt:lpstr>
      <vt:lpstr>H1 齐套明细运行历史记录表</vt:lpstr>
      <vt:lpstr>齐套数算法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2026-06-24T02:52:46Z</dcterms:modified>
</cp:coreProperties>
</file>